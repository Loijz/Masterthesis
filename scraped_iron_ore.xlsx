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38efd0a07b1b01/"/>
    </mc:Choice>
  </mc:AlternateContent>
  <xr:revisionPtr revIDLastSave="0" documentId="8_{7AD9461D-7599-4A2C-A8FF-8D39A6DB722E}" xr6:coauthVersionLast="47" xr6:coauthVersionMax="47" xr10:uidLastSave="{00000000-0000-0000-0000-000000000000}"/>
  <bookViews>
    <workbookView xWindow="-120" yWindow="-120" windowWidth="29040" windowHeight="15720" xr2:uid="{D9FD3AF0-AF7E-43DB-94AE-ED53A64BA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0" i="1" l="1"/>
  <c r="C269" i="1"/>
  <c r="C268" i="1"/>
  <c r="C267" i="1"/>
  <c r="C249" i="1"/>
  <c r="C250" i="1" s="1"/>
  <c r="C238" i="1"/>
  <c r="C239" i="1" s="1"/>
  <c r="C236" i="1"/>
  <c r="C229" i="1"/>
  <c r="C230" i="1" s="1"/>
  <c r="C231" i="1" s="1"/>
  <c r="C232" i="1" s="1"/>
  <c r="C233" i="1" s="1"/>
  <c r="C222" i="1"/>
  <c r="C220" i="1"/>
  <c r="C218" i="1"/>
  <c r="C211" i="1"/>
  <c r="C212" i="1" s="1"/>
  <c r="C213" i="1" s="1"/>
  <c r="C214" i="1" s="1"/>
  <c r="C215" i="1" s="1"/>
  <c r="C203" i="1"/>
  <c r="C204" i="1" s="1"/>
  <c r="C205" i="1" s="1"/>
  <c r="C206" i="1" s="1"/>
  <c r="C207" i="1" s="1"/>
  <c r="C196" i="1"/>
  <c r="C197" i="1" s="1"/>
  <c r="C198" i="1" s="1"/>
  <c r="C199" i="1" s="1"/>
  <c r="C200" i="1" s="1"/>
  <c r="C188" i="1"/>
  <c r="C189" i="1" s="1"/>
  <c r="C190" i="1" s="1"/>
  <c r="C191" i="1" s="1"/>
  <c r="C192" i="1" s="1"/>
  <c r="C181" i="1"/>
  <c r="C182" i="1" s="1"/>
  <c r="C183" i="1" s="1"/>
  <c r="C184" i="1" s="1"/>
  <c r="C185" i="1" s="1"/>
  <c r="C173" i="1"/>
  <c r="C174" i="1" s="1"/>
  <c r="C175" i="1" s="1"/>
  <c r="C176" i="1" s="1"/>
  <c r="C177" i="1" s="1"/>
  <c r="D169" i="1"/>
  <c r="C162" i="1"/>
  <c r="C163" i="1" s="1"/>
  <c r="C164" i="1" s="1"/>
  <c r="C165" i="1" s="1"/>
  <c r="C166" i="1" s="1"/>
  <c r="C148" i="1"/>
  <c r="C149" i="1" s="1"/>
  <c r="C150" i="1" s="1"/>
  <c r="C151" i="1" s="1"/>
  <c r="C152" i="1" s="1"/>
  <c r="C146" i="1"/>
  <c r="C145" i="1"/>
  <c r="C144" i="1"/>
  <c r="C134" i="1"/>
  <c r="C135" i="1" s="1"/>
  <c r="C136" i="1" s="1"/>
  <c r="C137" i="1" s="1"/>
  <c r="C138" i="1" s="1"/>
  <c r="C131" i="1"/>
  <c r="C132" i="1" s="1"/>
  <c r="C128" i="1"/>
  <c r="C129" i="1" s="1"/>
  <c r="C120" i="1"/>
  <c r="C121" i="1" s="1"/>
  <c r="C122" i="1" s="1"/>
  <c r="C123" i="1" s="1"/>
  <c r="C124" i="1" s="1"/>
  <c r="C117" i="1"/>
  <c r="C118" i="1" s="1"/>
  <c r="C114" i="1"/>
  <c r="C115" i="1" s="1"/>
  <c r="C106" i="1"/>
  <c r="C107" i="1" s="1"/>
  <c r="C108" i="1" s="1"/>
  <c r="C109" i="1" s="1"/>
  <c r="C110" i="1" s="1"/>
  <c r="C81" i="1"/>
  <c r="C82" i="1" s="1"/>
  <c r="C83" i="1" s="1"/>
  <c r="C84" i="1" s="1"/>
  <c r="C85" i="1" s="1"/>
  <c r="C75" i="1"/>
  <c r="C76" i="1" s="1"/>
  <c r="C77" i="1" s="1"/>
  <c r="C78" i="1" s="1"/>
  <c r="C79" i="1" s="1"/>
  <c r="C62" i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51" i="1"/>
  <c r="C52" i="1" s="1"/>
  <c r="C53" i="1" s="1"/>
  <c r="C54" i="1" s="1"/>
  <c r="C55" i="1" s="1"/>
  <c r="C56" i="1" s="1"/>
  <c r="C57" i="1" s="1"/>
  <c r="C58" i="1" s="1"/>
  <c r="C59" i="1" s="1"/>
  <c r="C60" i="1" s="1"/>
</calcChain>
</file>

<file path=xl/sharedStrings.xml><?xml version="1.0" encoding="utf-8"?>
<sst xmlns="http://schemas.openxmlformats.org/spreadsheetml/2006/main" count="1095" uniqueCount="100">
  <si>
    <t xml:space="preserve">Prediction in </t>
  </si>
  <si>
    <t>For</t>
  </si>
  <si>
    <t>Forecast</t>
  </si>
  <si>
    <t>Mean</t>
  </si>
  <si>
    <t>Median</t>
  </si>
  <si>
    <t>Expertise</t>
  </si>
  <si>
    <t xml:space="preserve">Commodity </t>
  </si>
  <si>
    <t>01.04.2025</t>
  </si>
  <si>
    <t>01.12.2025</t>
  </si>
  <si>
    <t>Worldbank</t>
  </si>
  <si>
    <t>Iron Ore</t>
  </si>
  <si>
    <t>01.12.2026</t>
  </si>
  <si>
    <t>01.10.2024</t>
  </si>
  <si>
    <t>01.12.2024</t>
  </si>
  <si>
    <t>01.04.2024</t>
  </si>
  <si>
    <t>01.10.2023</t>
  </si>
  <si>
    <t>01.12.2023</t>
  </si>
  <si>
    <t>01.04.2023</t>
  </si>
  <si>
    <t>01.10.2022</t>
  </si>
  <si>
    <t>01.12.2022</t>
  </si>
  <si>
    <t>01.04.2022</t>
  </si>
  <si>
    <t>01.10.2021</t>
  </si>
  <si>
    <t>01.12.2021</t>
  </si>
  <si>
    <t>01.04.2021</t>
  </si>
  <si>
    <t>01.10.2020</t>
  </si>
  <si>
    <t>01.12.2020</t>
  </si>
  <si>
    <t>01.04.2020</t>
  </si>
  <si>
    <t>01.10.2019</t>
  </si>
  <si>
    <t>01.12.2019</t>
  </si>
  <si>
    <t>01.12.2027</t>
  </si>
  <si>
    <t>01.12.2028</t>
  </si>
  <si>
    <t>01.12.2029</t>
  </si>
  <si>
    <t>01.12.2030</t>
  </si>
  <si>
    <t>01.07.2019</t>
  </si>
  <si>
    <t>01.04.2015</t>
  </si>
  <si>
    <t>01.12.2015</t>
  </si>
  <si>
    <t>01.04.2014</t>
  </si>
  <si>
    <t>01.12.2014</t>
  </si>
  <si>
    <t>01.12.2016</t>
  </si>
  <si>
    <t>01.12.2017</t>
  </si>
  <si>
    <t>01.12.2018</t>
  </si>
  <si>
    <t>01.10.2013</t>
  </si>
  <si>
    <t>01.12.2013</t>
  </si>
  <si>
    <t>01.10.2016</t>
  </si>
  <si>
    <t>01.10.2017</t>
  </si>
  <si>
    <t>26.11.2014</t>
  </si>
  <si>
    <t>01.06.2017</t>
  </si>
  <si>
    <t>Australian Mining</t>
  </si>
  <si>
    <t>01.06.2020</t>
  </si>
  <si>
    <t>01.02.2015</t>
  </si>
  <si>
    <t>Citigroup</t>
  </si>
  <si>
    <t>01.06.2015</t>
  </si>
  <si>
    <t>01.09.2015</t>
  </si>
  <si>
    <t>Goldman Sachs</t>
  </si>
  <si>
    <t>BNP Paribas</t>
  </si>
  <si>
    <t>Bureau of Resources and Energy Economics</t>
  </si>
  <si>
    <t>01.04.2016</t>
  </si>
  <si>
    <t>01.06.2021</t>
  </si>
  <si>
    <t>Australian Government</t>
  </si>
  <si>
    <t>01.09.2025</t>
  </si>
  <si>
    <t>Department of Industry, Science and Resource of Australia</t>
  </si>
  <si>
    <t>01.06.2025</t>
  </si>
  <si>
    <t>01.03.2025</t>
  </si>
  <si>
    <t>01.09.2024</t>
  </si>
  <si>
    <t>01.06.2024</t>
  </si>
  <si>
    <t>01.03.2024</t>
  </si>
  <si>
    <t>01.09.2023</t>
  </si>
  <si>
    <t>01.06.2023</t>
  </si>
  <si>
    <t>01.03.2023</t>
  </si>
  <si>
    <t>01.09.2022</t>
  </si>
  <si>
    <t>01.06.2022</t>
  </si>
  <si>
    <t>01.03.2022</t>
  </si>
  <si>
    <t>01.09.2021</t>
  </si>
  <si>
    <t>01.03.2021</t>
  </si>
  <si>
    <t>01.08.2015</t>
  </si>
  <si>
    <t>01.02.217</t>
  </si>
  <si>
    <t>01.07.2016</t>
  </si>
  <si>
    <t>ANZ</t>
  </si>
  <si>
    <t>Jason Schenker</t>
  </si>
  <si>
    <t>01.03.2013</t>
  </si>
  <si>
    <t>01.06.2013</t>
  </si>
  <si>
    <t>01.09.2013</t>
  </si>
  <si>
    <t>01.03.2014</t>
  </si>
  <si>
    <t>01.06.2014</t>
  </si>
  <si>
    <t>01.09.2014</t>
  </si>
  <si>
    <t>01.03.2015</t>
  </si>
  <si>
    <t>01.03.2016</t>
  </si>
  <si>
    <t>01.06.2016</t>
  </si>
  <si>
    <t>01.09.2016</t>
  </si>
  <si>
    <t>01.03.2017</t>
  </si>
  <si>
    <t>01.09.2017</t>
  </si>
  <si>
    <t>Scotiabank</t>
  </si>
  <si>
    <t>S&amp;P Global Market Intelligence</t>
  </si>
  <si>
    <t>01.12.2035</t>
  </si>
  <si>
    <t>S&amp;P Global Market Intelligencee</t>
  </si>
  <si>
    <t>01.11.2025</t>
  </si>
  <si>
    <t>01.06.2026</t>
  </si>
  <si>
    <t>01.11.2024</t>
  </si>
  <si>
    <t>Fitch</t>
  </si>
  <si>
    <t>01.01.2014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</si>
</sst>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#\ ##0.0;\–#\ ##0.0;\ 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" fontId="2" fillId="0" borderId="0" xfId="1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DE3F-9753-48C1-ABAB-7A470C415CB4}">
  <dimension ref="A1:G486"/>
  <sheetViews>
    <sheetView tabSelected="1" workbookViewId="0">
      <selection activeCell="A3" sqref="A3"/>
    </sheetView>
  </sheetViews>
  <sheetFormatPr defaultRowHeight="15" x14ac:dyDescent="0.25"/>
  <cols>
    <col min="1" max="1" width="12.5703125" customWidth="1"/>
    <col min="2" max="3" width="17.7109375" customWidth="1"/>
    <col min="4" max="4" width="15.7109375" style="1" customWidth="1"/>
    <col min="5" max="5" width="13.5703125" customWidth="1"/>
    <col min="6" max="6" width="31.85546875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8</v>
      </c>
      <c r="D2" s="1">
        <v>95</v>
      </c>
      <c r="F2" t="s">
        <v>9</v>
      </c>
      <c r="G2" t="s">
        <v>10</v>
      </c>
    </row>
    <row r="3" spans="1:7" x14ac:dyDescent="0.25">
      <c r="A3" t="s">
        <v>7</v>
      </c>
      <c r="B3" t="s">
        <v>11</v>
      </c>
      <c r="C3">
        <v>20</v>
      </c>
      <c r="D3" s="1">
        <v>88</v>
      </c>
      <c r="F3" t="s">
        <v>9</v>
      </c>
      <c r="G3" t="s">
        <v>10</v>
      </c>
    </row>
    <row r="4" spans="1:7" x14ac:dyDescent="0.25">
      <c r="A4" t="s">
        <v>12</v>
      </c>
      <c r="B4" t="s">
        <v>13</v>
      </c>
      <c r="C4">
        <v>2</v>
      </c>
      <c r="D4" s="1">
        <v>108</v>
      </c>
      <c r="F4" t="s">
        <v>9</v>
      </c>
      <c r="G4" t="s">
        <v>10</v>
      </c>
    </row>
    <row r="5" spans="1:7" x14ac:dyDescent="0.25">
      <c r="A5" t="s">
        <v>12</v>
      </c>
      <c r="B5" t="s">
        <v>8</v>
      </c>
      <c r="C5">
        <v>14</v>
      </c>
      <c r="D5" s="1">
        <v>95</v>
      </c>
      <c r="F5" t="s">
        <v>9</v>
      </c>
      <c r="G5" t="s">
        <v>10</v>
      </c>
    </row>
    <row r="6" spans="1:7" x14ac:dyDescent="0.25">
      <c r="A6" t="s">
        <v>12</v>
      </c>
      <c r="B6" t="s">
        <v>11</v>
      </c>
      <c r="C6">
        <v>26</v>
      </c>
      <c r="D6" s="1">
        <v>90</v>
      </c>
      <c r="F6" t="s">
        <v>9</v>
      </c>
      <c r="G6" t="s">
        <v>10</v>
      </c>
    </row>
    <row r="7" spans="1:7" x14ac:dyDescent="0.25">
      <c r="A7" t="s">
        <v>14</v>
      </c>
      <c r="B7" t="s">
        <v>13</v>
      </c>
      <c r="C7">
        <v>8</v>
      </c>
      <c r="D7" s="1">
        <v>110</v>
      </c>
      <c r="F7" t="s">
        <v>9</v>
      </c>
      <c r="G7" t="s">
        <v>10</v>
      </c>
    </row>
    <row r="8" spans="1:7" x14ac:dyDescent="0.25">
      <c r="A8" t="s">
        <v>14</v>
      </c>
      <c r="B8" t="s">
        <v>8</v>
      </c>
      <c r="C8">
        <v>20</v>
      </c>
      <c r="D8" s="1">
        <v>105</v>
      </c>
      <c r="F8" t="s">
        <v>9</v>
      </c>
      <c r="G8" t="s">
        <v>10</v>
      </c>
    </row>
    <row r="9" spans="1:7" x14ac:dyDescent="0.25">
      <c r="A9" t="s">
        <v>15</v>
      </c>
      <c r="B9" t="s">
        <v>16</v>
      </c>
      <c r="C9">
        <v>2</v>
      </c>
      <c r="D9" s="1">
        <v>108</v>
      </c>
      <c r="F9" t="s">
        <v>9</v>
      </c>
      <c r="G9" t="s">
        <v>10</v>
      </c>
    </row>
    <row r="10" spans="1:7" x14ac:dyDescent="0.25">
      <c r="A10" t="s">
        <v>15</v>
      </c>
      <c r="B10" t="s">
        <v>13</v>
      </c>
      <c r="C10">
        <v>14</v>
      </c>
      <c r="D10" s="1">
        <v>105</v>
      </c>
      <c r="F10" t="s">
        <v>9</v>
      </c>
      <c r="G10" t="s">
        <v>10</v>
      </c>
    </row>
    <row r="11" spans="1:7" x14ac:dyDescent="0.25">
      <c r="A11" t="s">
        <v>15</v>
      </c>
      <c r="B11" t="s">
        <v>8</v>
      </c>
      <c r="C11">
        <v>26</v>
      </c>
      <c r="D11" s="1">
        <v>100</v>
      </c>
      <c r="F11" t="s">
        <v>9</v>
      </c>
      <c r="G11" t="s">
        <v>10</v>
      </c>
    </row>
    <row r="12" spans="1:7" x14ac:dyDescent="0.25">
      <c r="A12" t="s">
        <v>17</v>
      </c>
      <c r="B12" t="s">
        <v>16</v>
      </c>
      <c r="C12">
        <v>8</v>
      </c>
      <c r="D12" s="1">
        <v>115</v>
      </c>
      <c r="F12" t="s">
        <v>9</v>
      </c>
      <c r="G12" t="s">
        <v>10</v>
      </c>
    </row>
    <row r="13" spans="1:7" x14ac:dyDescent="0.25">
      <c r="A13" t="s">
        <v>17</v>
      </c>
      <c r="B13" t="s">
        <v>13</v>
      </c>
      <c r="C13">
        <v>20</v>
      </c>
      <c r="D13" s="1">
        <v>110</v>
      </c>
      <c r="F13" t="s">
        <v>9</v>
      </c>
      <c r="G13" t="s">
        <v>10</v>
      </c>
    </row>
    <row r="14" spans="1:7" x14ac:dyDescent="0.25">
      <c r="A14" t="s">
        <v>18</v>
      </c>
      <c r="B14" t="s">
        <v>19</v>
      </c>
      <c r="C14">
        <v>2</v>
      </c>
      <c r="D14" s="1">
        <v>120</v>
      </c>
      <c r="F14" t="s">
        <v>9</v>
      </c>
      <c r="G14" t="s">
        <v>10</v>
      </c>
    </row>
    <row r="15" spans="1:7" x14ac:dyDescent="0.25">
      <c r="A15" t="s">
        <v>18</v>
      </c>
      <c r="B15" t="s">
        <v>16</v>
      </c>
      <c r="C15">
        <v>14</v>
      </c>
      <c r="D15" s="1">
        <v>100</v>
      </c>
      <c r="F15" t="s">
        <v>9</v>
      </c>
      <c r="G15" t="s">
        <v>10</v>
      </c>
    </row>
    <row r="16" spans="1:7" x14ac:dyDescent="0.25">
      <c r="A16" t="s">
        <v>18</v>
      </c>
      <c r="B16" t="s">
        <v>13</v>
      </c>
      <c r="C16">
        <v>26</v>
      </c>
      <c r="D16" s="1">
        <v>98</v>
      </c>
      <c r="F16" t="s">
        <v>9</v>
      </c>
      <c r="G16" t="s">
        <v>10</v>
      </c>
    </row>
    <row r="17" spans="1:7" x14ac:dyDescent="0.25">
      <c r="A17" t="s">
        <v>20</v>
      </c>
      <c r="B17" t="s">
        <v>19</v>
      </c>
      <c r="C17">
        <v>8</v>
      </c>
      <c r="D17" s="1">
        <v>140</v>
      </c>
      <c r="F17" t="s">
        <v>9</v>
      </c>
      <c r="G17" t="s">
        <v>10</v>
      </c>
    </row>
    <row r="18" spans="1:7" x14ac:dyDescent="0.25">
      <c r="A18" t="s">
        <v>20</v>
      </c>
      <c r="B18" t="s">
        <v>16</v>
      </c>
      <c r="C18">
        <v>20</v>
      </c>
      <c r="D18" s="1">
        <v>105</v>
      </c>
      <c r="F18" t="s">
        <v>9</v>
      </c>
      <c r="G18" t="s">
        <v>10</v>
      </c>
    </row>
    <row r="19" spans="1:7" x14ac:dyDescent="0.25">
      <c r="A19" t="s">
        <v>20</v>
      </c>
      <c r="B19" t="s">
        <v>13</v>
      </c>
      <c r="C19">
        <v>32</v>
      </c>
      <c r="D19" s="1">
        <v>90</v>
      </c>
      <c r="F19" t="s">
        <v>9</v>
      </c>
      <c r="G19" t="s">
        <v>10</v>
      </c>
    </row>
    <row r="20" spans="1:7" x14ac:dyDescent="0.25">
      <c r="A20" t="s">
        <v>21</v>
      </c>
      <c r="B20" t="s">
        <v>22</v>
      </c>
      <c r="C20">
        <v>2</v>
      </c>
      <c r="D20" s="1">
        <v>188</v>
      </c>
      <c r="F20" t="s">
        <v>9</v>
      </c>
      <c r="G20" t="s">
        <v>10</v>
      </c>
    </row>
    <row r="21" spans="1:7" x14ac:dyDescent="0.25">
      <c r="A21" t="s">
        <v>21</v>
      </c>
      <c r="B21" t="s">
        <v>19</v>
      </c>
      <c r="C21">
        <v>14</v>
      </c>
      <c r="D21" s="1">
        <v>148</v>
      </c>
      <c r="F21" t="s">
        <v>9</v>
      </c>
      <c r="G21" t="s">
        <v>10</v>
      </c>
    </row>
    <row r="22" spans="1:7" x14ac:dyDescent="0.25">
      <c r="A22" t="s">
        <v>23</v>
      </c>
      <c r="B22" t="s">
        <v>22</v>
      </c>
      <c r="C22">
        <v>8</v>
      </c>
      <c r="D22" s="1">
        <v>208</v>
      </c>
      <c r="F22" t="s">
        <v>9</v>
      </c>
      <c r="G22" t="s">
        <v>10</v>
      </c>
    </row>
    <row r="23" spans="1:7" x14ac:dyDescent="0.25">
      <c r="A23" t="s">
        <v>23</v>
      </c>
      <c r="B23" t="s">
        <v>19</v>
      </c>
      <c r="C23">
        <v>20</v>
      </c>
      <c r="D23" s="1">
        <v>170</v>
      </c>
      <c r="F23" t="s">
        <v>9</v>
      </c>
      <c r="G23" t="s">
        <v>10</v>
      </c>
    </row>
    <row r="24" spans="1:7" x14ac:dyDescent="0.25">
      <c r="A24" t="s">
        <v>24</v>
      </c>
      <c r="B24" t="s">
        <v>25</v>
      </c>
      <c r="C24">
        <v>2</v>
      </c>
      <c r="D24" s="1">
        <v>141</v>
      </c>
      <c r="F24" t="s">
        <v>9</v>
      </c>
      <c r="G24" t="s">
        <v>10</v>
      </c>
    </row>
    <row r="25" spans="1:7" x14ac:dyDescent="0.25">
      <c r="A25" t="s">
        <v>24</v>
      </c>
      <c r="B25" t="s">
        <v>22</v>
      </c>
      <c r="C25">
        <v>14</v>
      </c>
      <c r="D25" s="1">
        <v>138</v>
      </c>
      <c r="F25" t="s">
        <v>9</v>
      </c>
      <c r="G25" t="s">
        <v>10</v>
      </c>
    </row>
    <row r="26" spans="1:7" x14ac:dyDescent="0.25">
      <c r="A26" t="s">
        <v>26</v>
      </c>
      <c r="B26" t="s">
        <v>25</v>
      </c>
      <c r="C26">
        <v>8</v>
      </c>
      <c r="D26" s="1">
        <v>90</v>
      </c>
      <c r="F26" t="s">
        <v>9</v>
      </c>
      <c r="G26" t="s">
        <v>10</v>
      </c>
    </row>
    <row r="27" spans="1:7" x14ac:dyDescent="0.25">
      <c r="A27" t="s">
        <v>27</v>
      </c>
      <c r="B27" t="s">
        <v>28</v>
      </c>
      <c r="C27">
        <v>2</v>
      </c>
      <c r="D27" s="1">
        <v>65</v>
      </c>
      <c r="F27" t="s">
        <v>9</v>
      </c>
      <c r="G27" t="s">
        <v>10</v>
      </c>
    </row>
    <row r="28" spans="1:7" x14ac:dyDescent="0.25">
      <c r="A28" t="s">
        <v>27</v>
      </c>
      <c r="B28" t="s">
        <v>25</v>
      </c>
      <c r="C28">
        <v>14</v>
      </c>
      <c r="D28" s="1">
        <v>64</v>
      </c>
      <c r="F28" t="s">
        <v>9</v>
      </c>
      <c r="G28" t="s">
        <v>10</v>
      </c>
    </row>
    <row r="29" spans="1:7" x14ac:dyDescent="0.25">
      <c r="A29" t="s">
        <v>27</v>
      </c>
      <c r="B29" t="s">
        <v>22</v>
      </c>
      <c r="C29">
        <v>26</v>
      </c>
      <c r="D29" s="1">
        <v>63</v>
      </c>
      <c r="F29" t="s">
        <v>9</v>
      </c>
      <c r="G29" t="s">
        <v>10</v>
      </c>
    </row>
    <row r="30" spans="1:7" x14ac:dyDescent="0.25">
      <c r="A30" t="s">
        <v>27</v>
      </c>
      <c r="B30" t="s">
        <v>19</v>
      </c>
      <c r="C30">
        <v>38</v>
      </c>
      <c r="D30" s="1">
        <v>63</v>
      </c>
      <c r="F30" t="s">
        <v>9</v>
      </c>
      <c r="G30" t="s">
        <v>10</v>
      </c>
    </row>
    <row r="31" spans="1:7" x14ac:dyDescent="0.25">
      <c r="A31" t="s">
        <v>27</v>
      </c>
      <c r="B31" t="s">
        <v>16</v>
      </c>
      <c r="C31">
        <v>50</v>
      </c>
      <c r="D31" s="1">
        <v>62</v>
      </c>
      <c r="F31" t="s">
        <v>9</v>
      </c>
      <c r="G31" t="s">
        <v>10</v>
      </c>
    </row>
    <row r="32" spans="1:7" x14ac:dyDescent="0.25">
      <c r="A32" t="s">
        <v>27</v>
      </c>
      <c r="B32" t="s">
        <v>13</v>
      </c>
      <c r="C32">
        <v>62</v>
      </c>
      <c r="D32" s="1">
        <v>62</v>
      </c>
      <c r="F32" t="s">
        <v>9</v>
      </c>
      <c r="G32" t="s">
        <v>10</v>
      </c>
    </row>
    <row r="33" spans="1:7" x14ac:dyDescent="0.25">
      <c r="A33" t="s">
        <v>27</v>
      </c>
      <c r="B33" t="s">
        <v>8</v>
      </c>
      <c r="C33">
        <v>74</v>
      </c>
      <c r="D33" s="1">
        <v>61</v>
      </c>
      <c r="F33" t="s">
        <v>9</v>
      </c>
      <c r="G33" t="s">
        <v>10</v>
      </c>
    </row>
    <row r="34" spans="1:7" x14ac:dyDescent="0.25">
      <c r="A34" t="s">
        <v>27</v>
      </c>
      <c r="B34" t="s">
        <v>11</v>
      </c>
      <c r="C34">
        <v>86</v>
      </c>
      <c r="D34" s="1">
        <v>60</v>
      </c>
      <c r="F34" t="s">
        <v>9</v>
      </c>
      <c r="G34" t="s">
        <v>10</v>
      </c>
    </row>
    <row r="35" spans="1:7" x14ac:dyDescent="0.25">
      <c r="A35" t="s">
        <v>27</v>
      </c>
      <c r="B35" t="s">
        <v>29</v>
      </c>
      <c r="C35">
        <v>98</v>
      </c>
      <c r="D35" s="1">
        <v>60</v>
      </c>
      <c r="F35" t="s">
        <v>9</v>
      </c>
      <c r="G35" t="s">
        <v>10</v>
      </c>
    </row>
    <row r="36" spans="1:7" x14ac:dyDescent="0.25">
      <c r="A36" t="s">
        <v>27</v>
      </c>
      <c r="B36" t="s">
        <v>30</v>
      </c>
      <c r="C36">
        <v>110</v>
      </c>
      <c r="D36" s="1">
        <v>60</v>
      </c>
      <c r="F36" t="s">
        <v>9</v>
      </c>
      <c r="G36" t="s">
        <v>10</v>
      </c>
    </row>
    <row r="37" spans="1:7" x14ac:dyDescent="0.25">
      <c r="A37" t="s">
        <v>27</v>
      </c>
      <c r="B37" t="s">
        <v>31</v>
      </c>
      <c r="C37">
        <v>122</v>
      </c>
      <c r="D37" s="1">
        <v>85</v>
      </c>
      <c r="F37" t="s">
        <v>9</v>
      </c>
      <c r="G37" t="s">
        <v>10</v>
      </c>
    </row>
    <row r="38" spans="1:7" x14ac:dyDescent="0.25">
      <c r="A38" t="s">
        <v>27</v>
      </c>
      <c r="B38" t="s">
        <v>32</v>
      </c>
      <c r="C38">
        <v>134</v>
      </c>
      <c r="D38" s="1">
        <v>84</v>
      </c>
      <c r="F38" t="s">
        <v>9</v>
      </c>
      <c r="G38" t="s">
        <v>10</v>
      </c>
    </row>
    <row r="39" spans="1:7" x14ac:dyDescent="0.25">
      <c r="A39" t="s">
        <v>26</v>
      </c>
      <c r="B39" t="s">
        <v>25</v>
      </c>
      <c r="C39">
        <v>8</v>
      </c>
      <c r="D39" s="1">
        <v>85</v>
      </c>
      <c r="F39" t="s">
        <v>9</v>
      </c>
      <c r="G39" t="s">
        <v>10</v>
      </c>
    </row>
    <row r="40" spans="1:7" x14ac:dyDescent="0.25">
      <c r="A40" t="s">
        <v>26</v>
      </c>
      <c r="B40" t="s">
        <v>22</v>
      </c>
      <c r="C40">
        <v>20</v>
      </c>
      <c r="D40" s="1">
        <v>84</v>
      </c>
      <c r="F40" t="s">
        <v>9</v>
      </c>
      <c r="G40" t="s">
        <v>10</v>
      </c>
    </row>
    <row r="41" spans="1:7" x14ac:dyDescent="0.25">
      <c r="A41" t="s">
        <v>26</v>
      </c>
      <c r="B41" t="s">
        <v>19</v>
      </c>
      <c r="C41">
        <v>32</v>
      </c>
      <c r="D41" s="1">
        <v>84.6</v>
      </c>
      <c r="F41" t="s">
        <v>9</v>
      </c>
      <c r="G41" t="s">
        <v>10</v>
      </c>
    </row>
    <row r="42" spans="1:7" x14ac:dyDescent="0.25">
      <c r="A42" t="s">
        <v>26</v>
      </c>
      <c r="B42" t="s">
        <v>16</v>
      </c>
      <c r="C42">
        <v>44</v>
      </c>
      <c r="D42" s="1">
        <v>85.3</v>
      </c>
      <c r="F42" t="s">
        <v>9</v>
      </c>
      <c r="G42" t="s">
        <v>10</v>
      </c>
    </row>
    <row r="43" spans="1:7" x14ac:dyDescent="0.25">
      <c r="A43" t="s">
        <v>26</v>
      </c>
      <c r="B43" t="s">
        <v>13</v>
      </c>
      <c r="C43">
        <v>56</v>
      </c>
      <c r="D43" s="1">
        <v>86</v>
      </c>
      <c r="F43" t="s">
        <v>9</v>
      </c>
      <c r="G43" t="s">
        <v>10</v>
      </c>
    </row>
    <row r="44" spans="1:7" x14ac:dyDescent="0.25">
      <c r="A44" t="s">
        <v>26</v>
      </c>
      <c r="B44" t="s">
        <v>8</v>
      </c>
      <c r="C44">
        <v>68</v>
      </c>
      <c r="D44" s="1">
        <v>86.6</v>
      </c>
      <c r="F44" t="s">
        <v>9</v>
      </c>
      <c r="G44" t="s">
        <v>10</v>
      </c>
    </row>
    <row r="45" spans="1:7" x14ac:dyDescent="0.25">
      <c r="A45" t="s">
        <v>26</v>
      </c>
      <c r="B45" t="s">
        <v>32</v>
      </c>
      <c r="C45">
        <v>128</v>
      </c>
      <c r="D45" s="1">
        <v>90</v>
      </c>
      <c r="F45" t="s">
        <v>9</v>
      </c>
      <c r="G45" t="s">
        <v>10</v>
      </c>
    </row>
    <row r="46" spans="1:7" x14ac:dyDescent="0.25">
      <c r="A46" t="s">
        <v>33</v>
      </c>
      <c r="B46" t="s">
        <v>28</v>
      </c>
      <c r="C46">
        <v>5</v>
      </c>
      <c r="D46" s="1">
        <v>95.25</v>
      </c>
      <c r="F46" t="s">
        <v>9</v>
      </c>
      <c r="G46" t="s">
        <v>10</v>
      </c>
    </row>
    <row r="47" spans="1:7" x14ac:dyDescent="0.25">
      <c r="A47" t="s">
        <v>33</v>
      </c>
      <c r="B47" t="s">
        <v>25</v>
      </c>
      <c r="C47">
        <v>17</v>
      </c>
      <c r="D47" s="1">
        <v>75</v>
      </c>
      <c r="F47" t="s">
        <v>9</v>
      </c>
      <c r="G47" t="s">
        <v>10</v>
      </c>
    </row>
    <row r="48" spans="1:7" x14ac:dyDescent="0.25">
      <c r="A48" t="s">
        <v>34</v>
      </c>
      <c r="B48" t="s">
        <v>35</v>
      </c>
      <c r="C48">
        <v>8</v>
      </c>
      <c r="D48" s="1">
        <v>41</v>
      </c>
      <c r="F48" t="s">
        <v>9</v>
      </c>
      <c r="G48" t="s">
        <v>10</v>
      </c>
    </row>
    <row r="49" spans="1:7" x14ac:dyDescent="0.25">
      <c r="A49" t="s">
        <v>36</v>
      </c>
      <c r="B49" t="s">
        <v>37</v>
      </c>
      <c r="C49">
        <v>8</v>
      </c>
      <c r="D49" s="1">
        <v>104</v>
      </c>
      <c r="F49" t="s">
        <v>9</v>
      </c>
      <c r="G49" t="s">
        <v>10</v>
      </c>
    </row>
    <row r="50" spans="1:7" x14ac:dyDescent="0.25">
      <c r="A50" t="s">
        <v>36</v>
      </c>
      <c r="B50" t="s">
        <v>35</v>
      </c>
      <c r="C50">
        <v>20</v>
      </c>
      <c r="D50" s="1">
        <v>128</v>
      </c>
      <c r="F50" t="s">
        <v>9</v>
      </c>
      <c r="G50" t="s">
        <v>10</v>
      </c>
    </row>
    <row r="51" spans="1:7" x14ac:dyDescent="0.25">
      <c r="A51" t="s">
        <v>34</v>
      </c>
      <c r="B51" t="s">
        <v>38</v>
      </c>
      <c r="C51">
        <f>C50+12</f>
        <v>32</v>
      </c>
      <c r="D51" s="1">
        <v>130</v>
      </c>
      <c r="F51" t="s">
        <v>9</v>
      </c>
      <c r="G51" t="s">
        <v>10</v>
      </c>
    </row>
    <row r="52" spans="1:7" x14ac:dyDescent="0.25">
      <c r="A52" t="s">
        <v>36</v>
      </c>
      <c r="B52" t="s">
        <v>39</v>
      </c>
      <c r="C52">
        <f t="shared" ref="C52:C60" si="0">C51+12</f>
        <v>44</v>
      </c>
      <c r="D52" s="1">
        <v>131</v>
      </c>
      <c r="F52" t="s">
        <v>9</v>
      </c>
      <c r="G52" t="s">
        <v>10</v>
      </c>
    </row>
    <row r="53" spans="1:7" x14ac:dyDescent="0.25">
      <c r="A53" t="s">
        <v>36</v>
      </c>
      <c r="B53" t="s">
        <v>40</v>
      </c>
      <c r="C53">
        <f t="shared" si="0"/>
        <v>56</v>
      </c>
      <c r="D53" s="1">
        <v>133</v>
      </c>
      <c r="F53" t="s">
        <v>9</v>
      </c>
      <c r="G53" t="s">
        <v>10</v>
      </c>
    </row>
    <row r="54" spans="1:7" x14ac:dyDescent="0.25">
      <c r="A54" t="s">
        <v>34</v>
      </c>
      <c r="B54" t="s">
        <v>28</v>
      </c>
      <c r="C54">
        <f t="shared" si="0"/>
        <v>68</v>
      </c>
      <c r="D54" s="1">
        <v>135</v>
      </c>
      <c r="F54" t="s">
        <v>9</v>
      </c>
      <c r="G54" t="s">
        <v>10</v>
      </c>
    </row>
    <row r="55" spans="1:7" x14ac:dyDescent="0.25">
      <c r="A55" t="s">
        <v>36</v>
      </c>
      <c r="B55" t="s">
        <v>25</v>
      </c>
      <c r="C55">
        <f t="shared" si="0"/>
        <v>80</v>
      </c>
      <c r="D55" s="1">
        <v>136</v>
      </c>
      <c r="F55" t="s">
        <v>9</v>
      </c>
      <c r="G55" t="s">
        <v>10</v>
      </c>
    </row>
    <row r="56" spans="1:7" x14ac:dyDescent="0.25">
      <c r="A56" t="s">
        <v>36</v>
      </c>
      <c r="B56" t="s">
        <v>22</v>
      </c>
      <c r="C56">
        <f t="shared" si="0"/>
        <v>92</v>
      </c>
      <c r="D56" s="1">
        <v>138</v>
      </c>
      <c r="F56" t="s">
        <v>9</v>
      </c>
      <c r="G56" t="s">
        <v>10</v>
      </c>
    </row>
    <row r="57" spans="1:7" x14ac:dyDescent="0.25">
      <c r="A57" t="s">
        <v>34</v>
      </c>
      <c r="B57" t="s">
        <v>19</v>
      </c>
      <c r="C57">
        <f t="shared" si="0"/>
        <v>104</v>
      </c>
      <c r="D57" s="1">
        <v>140</v>
      </c>
      <c r="F57" t="s">
        <v>9</v>
      </c>
      <c r="G57" t="s">
        <v>10</v>
      </c>
    </row>
    <row r="58" spans="1:7" x14ac:dyDescent="0.25">
      <c r="A58" t="s">
        <v>36</v>
      </c>
      <c r="B58" t="s">
        <v>16</v>
      </c>
      <c r="C58">
        <f t="shared" si="0"/>
        <v>116</v>
      </c>
      <c r="D58" s="1">
        <v>141</v>
      </c>
      <c r="F58" t="s">
        <v>9</v>
      </c>
      <c r="G58" t="s">
        <v>10</v>
      </c>
    </row>
    <row r="59" spans="1:7" x14ac:dyDescent="0.25">
      <c r="A59" t="s">
        <v>36</v>
      </c>
      <c r="B59" t="s">
        <v>13</v>
      </c>
      <c r="C59">
        <f t="shared" si="0"/>
        <v>128</v>
      </c>
      <c r="D59" s="1">
        <v>143</v>
      </c>
      <c r="F59" t="s">
        <v>9</v>
      </c>
      <c r="G59" t="s">
        <v>10</v>
      </c>
    </row>
    <row r="60" spans="1:7" x14ac:dyDescent="0.25">
      <c r="A60" t="s">
        <v>36</v>
      </c>
      <c r="B60" t="s">
        <v>8</v>
      </c>
      <c r="C60">
        <f t="shared" si="0"/>
        <v>140</v>
      </c>
      <c r="D60" s="1">
        <v>145</v>
      </c>
      <c r="F60" t="s">
        <v>9</v>
      </c>
      <c r="G60" t="s">
        <v>10</v>
      </c>
    </row>
    <row r="61" spans="1:7" x14ac:dyDescent="0.25">
      <c r="A61" t="s">
        <v>41</v>
      </c>
      <c r="B61" t="s">
        <v>42</v>
      </c>
      <c r="C61">
        <v>2</v>
      </c>
      <c r="D61" s="1">
        <v>134</v>
      </c>
      <c r="F61" t="s">
        <v>9</v>
      </c>
      <c r="G61" t="s">
        <v>10</v>
      </c>
    </row>
    <row r="62" spans="1:7" x14ac:dyDescent="0.25">
      <c r="A62" t="s">
        <v>41</v>
      </c>
      <c r="B62" t="s">
        <v>37</v>
      </c>
      <c r="C62">
        <f>C61+12</f>
        <v>14</v>
      </c>
      <c r="D62" s="1">
        <v>135</v>
      </c>
      <c r="F62" t="s">
        <v>9</v>
      </c>
      <c r="G62" t="s">
        <v>10</v>
      </c>
    </row>
    <row r="63" spans="1:7" x14ac:dyDescent="0.25">
      <c r="A63" t="s">
        <v>41</v>
      </c>
      <c r="B63" t="s">
        <v>35</v>
      </c>
      <c r="C63">
        <f t="shared" ref="C63:C73" si="1">C62+12</f>
        <v>26</v>
      </c>
      <c r="D63" s="1">
        <v>137</v>
      </c>
      <c r="F63" t="s">
        <v>9</v>
      </c>
      <c r="G63" t="s">
        <v>10</v>
      </c>
    </row>
    <row r="64" spans="1:7" x14ac:dyDescent="0.25">
      <c r="A64" t="s">
        <v>41</v>
      </c>
      <c r="B64" t="s">
        <v>38</v>
      </c>
      <c r="C64">
        <f t="shared" si="1"/>
        <v>38</v>
      </c>
      <c r="D64" s="1">
        <v>137.80000000000001</v>
      </c>
      <c r="F64" t="s">
        <v>9</v>
      </c>
      <c r="G64" t="s">
        <v>10</v>
      </c>
    </row>
    <row r="65" spans="1:7" x14ac:dyDescent="0.25">
      <c r="A65" t="s">
        <v>41</v>
      </c>
      <c r="B65" t="s">
        <v>39</v>
      </c>
      <c r="C65">
        <f t="shared" si="1"/>
        <v>50</v>
      </c>
      <c r="D65" s="1">
        <v>138.6</v>
      </c>
      <c r="F65" t="s">
        <v>9</v>
      </c>
      <c r="G65" t="s">
        <v>10</v>
      </c>
    </row>
    <row r="66" spans="1:7" x14ac:dyDescent="0.25">
      <c r="A66" t="s">
        <v>41</v>
      </c>
      <c r="B66" t="s">
        <v>40</v>
      </c>
      <c r="C66">
        <f t="shared" si="1"/>
        <v>62</v>
      </c>
      <c r="D66" s="1">
        <v>139.4</v>
      </c>
      <c r="F66" t="s">
        <v>9</v>
      </c>
      <c r="G66" t="s">
        <v>10</v>
      </c>
    </row>
    <row r="67" spans="1:7" x14ac:dyDescent="0.25">
      <c r="A67" t="s">
        <v>41</v>
      </c>
      <c r="B67" t="s">
        <v>28</v>
      </c>
      <c r="C67">
        <f t="shared" si="1"/>
        <v>74</v>
      </c>
      <c r="D67" s="1">
        <v>140.1</v>
      </c>
      <c r="F67" t="s">
        <v>9</v>
      </c>
      <c r="G67" t="s">
        <v>10</v>
      </c>
    </row>
    <row r="68" spans="1:7" x14ac:dyDescent="0.25">
      <c r="A68" t="s">
        <v>41</v>
      </c>
      <c r="B68" t="s">
        <v>25</v>
      </c>
      <c r="C68">
        <f t="shared" si="1"/>
        <v>86</v>
      </c>
      <c r="D68" s="1">
        <v>140.9</v>
      </c>
      <c r="F68" t="s">
        <v>9</v>
      </c>
      <c r="G68" t="s">
        <v>10</v>
      </c>
    </row>
    <row r="69" spans="1:7" x14ac:dyDescent="0.25">
      <c r="A69" t="s">
        <v>41</v>
      </c>
      <c r="B69" t="s">
        <v>22</v>
      </c>
      <c r="C69">
        <f t="shared" si="1"/>
        <v>98</v>
      </c>
      <c r="D69" s="1">
        <v>141.69999999999999</v>
      </c>
      <c r="F69" t="s">
        <v>9</v>
      </c>
      <c r="G69" t="s">
        <v>10</v>
      </c>
    </row>
    <row r="70" spans="1:7" x14ac:dyDescent="0.25">
      <c r="A70" t="s">
        <v>41</v>
      </c>
      <c r="B70" t="s">
        <v>19</v>
      </c>
      <c r="C70">
        <f t="shared" si="1"/>
        <v>110</v>
      </c>
      <c r="D70" s="1">
        <v>142.6</v>
      </c>
      <c r="F70" t="s">
        <v>9</v>
      </c>
      <c r="G70" t="s">
        <v>10</v>
      </c>
    </row>
    <row r="71" spans="1:7" x14ac:dyDescent="0.25">
      <c r="A71" t="s">
        <v>41</v>
      </c>
      <c r="B71" t="s">
        <v>16</v>
      </c>
      <c r="C71">
        <f t="shared" si="1"/>
        <v>122</v>
      </c>
      <c r="D71" s="1">
        <v>143.4</v>
      </c>
      <c r="F71" t="s">
        <v>9</v>
      </c>
      <c r="G71" t="s">
        <v>10</v>
      </c>
    </row>
    <row r="72" spans="1:7" x14ac:dyDescent="0.25">
      <c r="A72" t="s">
        <v>41</v>
      </c>
      <c r="B72" t="s">
        <v>13</v>
      </c>
      <c r="C72">
        <f t="shared" si="1"/>
        <v>134</v>
      </c>
      <c r="D72" s="1">
        <v>144.19999999999999</v>
      </c>
      <c r="F72" t="s">
        <v>9</v>
      </c>
      <c r="G72" t="s">
        <v>10</v>
      </c>
    </row>
    <row r="73" spans="1:7" x14ac:dyDescent="0.25">
      <c r="A73" t="s">
        <v>41</v>
      </c>
      <c r="B73" t="s">
        <v>8</v>
      </c>
      <c r="C73">
        <f t="shared" si="1"/>
        <v>146</v>
      </c>
      <c r="D73" s="1">
        <v>145</v>
      </c>
      <c r="F73" t="s">
        <v>9</v>
      </c>
      <c r="G73" t="s">
        <v>10</v>
      </c>
    </row>
    <row r="74" spans="1:7" x14ac:dyDescent="0.25">
      <c r="A74" t="s">
        <v>43</v>
      </c>
      <c r="B74" t="s">
        <v>38</v>
      </c>
      <c r="C74">
        <v>2</v>
      </c>
      <c r="D74" s="1">
        <v>54</v>
      </c>
      <c r="F74" t="s">
        <v>9</v>
      </c>
      <c r="G74" t="s">
        <v>10</v>
      </c>
    </row>
    <row r="75" spans="1:7" x14ac:dyDescent="0.25">
      <c r="A75" t="s">
        <v>43</v>
      </c>
      <c r="B75" t="s">
        <v>39</v>
      </c>
      <c r="C75">
        <f>C74+12</f>
        <v>14</v>
      </c>
      <c r="D75" s="1">
        <v>50</v>
      </c>
      <c r="F75" t="s">
        <v>9</v>
      </c>
      <c r="G75" t="s">
        <v>10</v>
      </c>
    </row>
    <row r="76" spans="1:7" x14ac:dyDescent="0.25">
      <c r="A76" t="s">
        <v>43</v>
      </c>
      <c r="B76" t="s">
        <v>40</v>
      </c>
      <c r="C76">
        <f t="shared" ref="C76:C79" si="2">C75+12</f>
        <v>26</v>
      </c>
      <c r="D76" s="1">
        <v>51.7</v>
      </c>
      <c r="F76" t="s">
        <v>9</v>
      </c>
      <c r="G76" t="s">
        <v>10</v>
      </c>
    </row>
    <row r="77" spans="1:7" x14ac:dyDescent="0.25">
      <c r="A77" t="s">
        <v>43</v>
      </c>
      <c r="B77" t="s">
        <v>28</v>
      </c>
      <c r="C77">
        <f t="shared" si="2"/>
        <v>38</v>
      </c>
      <c r="D77" s="1">
        <v>53.4</v>
      </c>
      <c r="F77" t="s">
        <v>9</v>
      </c>
      <c r="G77" t="s">
        <v>10</v>
      </c>
    </row>
    <row r="78" spans="1:7" x14ac:dyDescent="0.25">
      <c r="A78" t="s">
        <v>43</v>
      </c>
      <c r="B78" t="s">
        <v>25</v>
      </c>
      <c r="C78">
        <f t="shared" si="2"/>
        <v>50</v>
      </c>
      <c r="D78" s="1">
        <v>55.2</v>
      </c>
      <c r="F78" t="s">
        <v>9</v>
      </c>
      <c r="G78" t="s">
        <v>10</v>
      </c>
    </row>
    <row r="79" spans="1:7" x14ac:dyDescent="0.25">
      <c r="A79" t="s">
        <v>43</v>
      </c>
      <c r="B79" t="s">
        <v>8</v>
      </c>
      <c r="C79">
        <f t="shared" si="2"/>
        <v>62</v>
      </c>
      <c r="D79" s="1">
        <v>65</v>
      </c>
      <c r="F79" t="s">
        <v>9</v>
      </c>
      <c r="G79" t="s">
        <v>10</v>
      </c>
    </row>
    <row r="80" spans="1:7" x14ac:dyDescent="0.25">
      <c r="A80" t="s">
        <v>44</v>
      </c>
      <c r="B80" t="s">
        <v>39</v>
      </c>
      <c r="C80">
        <v>2</v>
      </c>
      <c r="D80" s="1">
        <v>70</v>
      </c>
      <c r="F80" t="s">
        <v>9</v>
      </c>
      <c r="G80" t="s">
        <v>10</v>
      </c>
    </row>
    <row r="81" spans="1:7" x14ac:dyDescent="0.25">
      <c r="A81" t="s">
        <v>44</v>
      </c>
      <c r="B81" t="s">
        <v>40</v>
      </c>
      <c r="C81">
        <f>C80+12</f>
        <v>14</v>
      </c>
      <c r="D81" s="1">
        <v>57</v>
      </c>
      <c r="F81" t="s">
        <v>9</v>
      </c>
      <c r="G81" t="s">
        <v>10</v>
      </c>
    </row>
    <row r="82" spans="1:7" x14ac:dyDescent="0.25">
      <c r="A82" t="s">
        <v>44</v>
      </c>
      <c r="B82" t="s">
        <v>28</v>
      </c>
      <c r="C82">
        <f t="shared" ref="C82:C83" si="3">C81+12</f>
        <v>26</v>
      </c>
      <c r="D82" s="1">
        <v>50</v>
      </c>
      <c r="F82" t="s">
        <v>9</v>
      </c>
      <c r="G82" t="s">
        <v>10</v>
      </c>
    </row>
    <row r="83" spans="1:7" x14ac:dyDescent="0.25">
      <c r="A83" t="s">
        <v>44</v>
      </c>
      <c r="B83" t="s">
        <v>25</v>
      </c>
      <c r="C83">
        <f t="shared" si="3"/>
        <v>38</v>
      </c>
      <c r="D83" s="1">
        <v>50.8</v>
      </c>
      <c r="F83" t="s">
        <v>9</v>
      </c>
      <c r="G83" t="s">
        <v>10</v>
      </c>
    </row>
    <row r="84" spans="1:7" x14ac:dyDescent="0.25">
      <c r="A84" t="s">
        <v>44</v>
      </c>
      <c r="B84" t="s">
        <v>8</v>
      </c>
      <c r="C84">
        <f>C83+(5*12)</f>
        <v>98</v>
      </c>
      <c r="D84" s="1">
        <v>55.2</v>
      </c>
      <c r="F84" t="s">
        <v>9</v>
      </c>
      <c r="G84" t="s">
        <v>10</v>
      </c>
    </row>
    <row r="85" spans="1:7" x14ac:dyDescent="0.25">
      <c r="A85" t="s">
        <v>44</v>
      </c>
      <c r="B85" t="s">
        <v>32</v>
      </c>
      <c r="C85">
        <f>C84+(5*12)</f>
        <v>158</v>
      </c>
      <c r="D85" s="1">
        <v>60</v>
      </c>
      <c r="F85" t="s">
        <v>9</v>
      </c>
      <c r="G85" t="s">
        <v>10</v>
      </c>
    </row>
    <row r="86" spans="1:7" x14ac:dyDescent="0.25">
      <c r="A86" t="s">
        <v>45</v>
      </c>
      <c r="B86" t="s">
        <v>46</v>
      </c>
      <c r="C86">
        <v>30</v>
      </c>
      <c r="D86" s="1">
        <v>70</v>
      </c>
      <c r="F86" t="s">
        <v>47</v>
      </c>
      <c r="G86" t="s">
        <v>10</v>
      </c>
    </row>
    <row r="87" spans="1:7" x14ac:dyDescent="0.25">
      <c r="A87" t="s">
        <v>45</v>
      </c>
      <c r="B87" t="s">
        <v>48</v>
      </c>
      <c r="C87">
        <v>66</v>
      </c>
      <c r="D87" s="1">
        <v>75</v>
      </c>
      <c r="F87" t="s">
        <v>47</v>
      </c>
      <c r="G87" t="s">
        <v>10</v>
      </c>
    </row>
    <row r="88" spans="1:7" x14ac:dyDescent="0.25">
      <c r="A88" t="s">
        <v>45</v>
      </c>
      <c r="B88" t="s">
        <v>49</v>
      </c>
      <c r="C88">
        <v>3</v>
      </c>
      <c r="D88" s="1">
        <v>72</v>
      </c>
      <c r="F88" t="s">
        <v>50</v>
      </c>
      <c r="G88" t="s">
        <v>10</v>
      </c>
    </row>
    <row r="89" spans="1:7" x14ac:dyDescent="0.25">
      <c r="A89" t="s">
        <v>45</v>
      </c>
      <c r="B89" t="s">
        <v>51</v>
      </c>
      <c r="C89">
        <v>7</v>
      </c>
      <c r="D89" s="1">
        <v>65</v>
      </c>
      <c r="F89" t="s">
        <v>50</v>
      </c>
      <c r="G89" t="s">
        <v>10</v>
      </c>
    </row>
    <row r="90" spans="1:7" x14ac:dyDescent="0.25">
      <c r="A90" t="s">
        <v>45</v>
      </c>
      <c r="B90" t="s">
        <v>52</v>
      </c>
      <c r="C90">
        <v>10</v>
      </c>
      <c r="D90" s="1">
        <v>60</v>
      </c>
      <c r="F90" t="s">
        <v>50</v>
      </c>
      <c r="G90" t="s">
        <v>10</v>
      </c>
    </row>
    <row r="91" spans="1:7" x14ac:dyDescent="0.25">
      <c r="A91" t="s">
        <v>45</v>
      </c>
      <c r="B91" t="s">
        <v>35</v>
      </c>
      <c r="C91">
        <v>13</v>
      </c>
      <c r="D91" s="1">
        <v>62</v>
      </c>
      <c r="F91" t="s">
        <v>50</v>
      </c>
      <c r="G91" t="s">
        <v>10</v>
      </c>
    </row>
    <row r="92" spans="1:7" x14ac:dyDescent="0.25">
      <c r="A92" t="s">
        <v>45</v>
      </c>
      <c r="B92" t="s">
        <v>35</v>
      </c>
      <c r="C92">
        <v>13</v>
      </c>
      <c r="D92" s="1">
        <v>80</v>
      </c>
      <c r="F92" t="s">
        <v>53</v>
      </c>
      <c r="G92" t="s">
        <v>10</v>
      </c>
    </row>
    <row r="93" spans="1:7" x14ac:dyDescent="0.25">
      <c r="A93" t="s">
        <v>45</v>
      </c>
      <c r="B93" t="s">
        <v>35</v>
      </c>
      <c r="C93">
        <v>13</v>
      </c>
      <c r="D93" s="1">
        <v>82</v>
      </c>
      <c r="F93" t="s">
        <v>54</v>
      </c>
      <c r="G93" t="s">
        <v>10</v>
      </c>
    </row>
    <row r="94" spans="1:7" x14ac:dyDescent="0.25">
      <c r="A94" t="s">
        <v>45</v>
      </c>
      <c r="B94" t="s">
        <v>35</v>
      </c>
      <c r="C94">
        <v>13</v>
      </c>
      <c r="D94" s="1">
        <v>70</v>
      </c>
      <c r="F94" t="s">
        <v>55</v>
      </c>
      <c r="G94" t="s">
        <v>10</v>
      </c>
    </row>
    <row r="95" spans="1:7" x14ac:dyDescent="0.25">
      <c r="A95" t="s">
        <v>45</v>
      </c>
      <c r="B95" t="s">
        <v>38</v>
      </c>
      <c r="C95">
        <v>25</v>
      </c>
      <c r="D95" s="1">
        <v>71.5</v>
      </c>
      <c r="F95" t="s">
        <v>55</v>
      </c>
      <c r="G95" t="s">
        <v>10</v>
      </c>
    </row>
    <row r="96" spans="1:7" x14ac:dyDescent="0.25">
      <c r="A96" t="s">
        <v>45</v>
      </c>
      <c r="B96" t="s">
        <v>39</v>
      </c>
      <c r="C96">
        <v>37</v>
      </c>
      <c r="D96" s="1">
        <v>73.5</v>
      </c>
      <c r="F96" t="s">
        <v>55</v>
      </c>
      <c r="G96" t="s">
        <v>10</v>
      </c>
    </row>
    <row r="97" spans="1:7" x14ac:dyDescent="0.25">
      <c r="A97" t="s">
        <v>37</v>
      </c>
      <c r="B97" t="s">
        <v>40</v>
      </c>
      <c r="C97">
        <v>48</v>
      </c>
      <c r="D97" s="1">
        <v>86</v>
      </c>
      <c r="F97" t="s">
        <v>53</v>
      </c>
      <c r="G97" t="s">
        <v>10</v>
      </c>
    </row>
    <row r="98" spans="1:7" x14ac:dyDescent="0.25">
      <c r="A98" t="s">
        <v>56</v>
      </c>
      <c r="B98" t="s">
        <v>57</v>
      </c>
      <c r="C98">
        <v>62</v>
      </c>
      <c r="D98" s="1">
        <v>64.7</v>
      </c>
      <c r="F98" t="s">
        <v>58</v>
      </c>
      <c r="G98" t="s">
        <v>10</v>
      </c>
    </row>
    <row r="99" spans="1:7" x14ac:dyDescent="0.25">
      <c r="A99" t="s">
        <v>59</v>
      </c>
      <c r="B99" t="s">
        <v>8</v>
      </c>
      <c r="C99">
        <v>3</v>
      </c>
      <c r="D99" s="1">
        <v>87</v>
      </c>
      <c r="F99" t="s">
        <v>60</v>
      </c>
      <c r="G99" t="s">
        <v>10</v>
      </c>
    </row>
    <row r="100" spans="1:7" x14ac:dyDescent="0.25">
      <c r="A100" t="s">
        <v>59</v>
      </c>
      <c r="B100" t="s">
        <v>8</v>
      </c>
      <c r="C100">
        <v>15</v>
      </c>
      <c r="D100" s="1">
        <v>84</v>
      </c>
      <c r="F100" t="s">
        <v>60</v>
      </c>
      <c r="G100" t="s">
        <v>10</v>
      </c>
    </row>
    <row r="101" spans="1:7" x14ac:dyDescent="0.25">
      <c r="A101" t="s">
        <v>59</v>
      </c>
      <c r="B101" t="s">
        <v>11</v>
      </c>
      <c r="C101">
        <v>27</v>
      </c>
      <c r="D101" s="1">
        <v>81</v>
      </c>
      <c r="F101" t="s">
        <v>60</v>
      </c>
      <c r="G101" t="s">
        <v>10</v>
      </c>
    </row>
    <row r="102" spans="1:7" x14ac:dyDescent="0.25">
      <c r="A102" t="s">
        <v>61</v>
      </c>
      <c r="B102" t="s">
        <v>8</v>
      </c>
      <c r="C102">
        <v>6</v>
      </c>
      <c r="D102" s="1">
        <v>83</v>
      </c>
      <c r="F102" t="s">
        <v>60</v>
      </c>
      <c r="G102" t="s">
        <v>10</v>
      </c>
    </row>
    <row r="103" spans="1:7" x14ac:dyDescent="0.25">
      <c r="A103" t="s">
        <v>61</v>
      </c>
      <c r="B103" t="s">
        <v>11</v>
      </c>
      <c r="C103">
        <v>18</v>
      </c>
      <c r="D103" s="1">
        <v>76</v>
      </c>
      <c r="F103" t="s">
        <v>60</v>
      </c>
      <c r="G103" t="s">
        <v>10</v>
      </c>
    </row>
    <row r="104" spans="1:7" x14ac:dyDescent="0.25">
      <c r="A104" t="s">
        <v>61</v>
      </c>
      <c r="B104" t="s">
        <v>29</v>
      </c>
      <c r="C104">
        <v>30</v>
      </c>
      <c r="D104" s="1">
        <v>74</v>
      </c>
      <c r="F104" t="s">
        <v>60</v>
      </c>
      <c r="G104" t="s">
        <v>10</v>
      </c>
    </row>
    <row r="105" spans="1:7" x14ac:dyDescent="0.25">
      <c r="A105" t="s">
        <v>62</v>
      </c>
      <c r="B105" t="s">
        <v>8</v>
      </c>
      <c r="C105">
        <v>9</v>
      </c>
      <c r="D105" s="2">
        <v>84.994754978554496</v>
      </c>
      <c r="F105" t="s">
        <v>60</v>
      </c>
      <c r="G105" t="s">
        <v>10</v>
      </c>
    </row>
    <row r="106" spans="1:7" x14ac:dyDescent="0.25">
      <c r="A106" t="s">
        <v>62</v>
      </c>
      <c r="B106" t="s">
        <v>11</v>
      </c>
      <c r="C106">
        <f>C105+12</f>
        <v>21</v>
      </c>
      <c r="D106" s="2">
        <v>80.183301232671695</v>
      </c>
      <c r="F106" t="s">
        <v>60</v>
      </c>
      <c r="G106" t="s">
        <v>10</v>
      </c>
    </row>
    <row r="107" spans="1:7" x14ac:dyDescent="0.25">
      <c r="A107" t="s">
        <v>62</v>
      </c>
      <c r="B107" t="s">
        <v>29</v>
      </c>
      <c r="C107">
        <f t="shared" ref="C107:C110" si="4">C106+12</f>
        <v>33</v>
      </c>
      <c r="D107" s="2">
        <v>77.119550276258806</v>
      </c>
      <c r="F107" t="s">
        <v>60</v>
      </c>
      <c r="G107" t="s">
        <v>10</v>
      </c>
    </row>
    <row r="108" spans="1:7" x14ac:dyDescent="0.25">
      <c r="A108" t="s">
        <v>62</v>
      </c>
      <c r="B108" t="s">
        <v>30</v>
      </c>
      <c r="C108">
        <f t="shared" si="4"/>
        <v>45</v>
      </c>
      <c r="D108" s="2">
        <v>76.249670646938199</v>
      </c>
      <c r="F108" t="s">
        <v>60</v>
      </c>
      <c r="G108" t="s">
        <v>10</v>
      </c>
    </row>
    <row r="109" spans="1:7" x14ac:dyDescent="0.25">
      <c r="A109" t="s">
        <v>62</v>
      </c>
      <c r="B109" t="s">
        <v>31</v>
      </c>
      <c r="C109">
        <f t="shared" si="4"/>
        <v>57</v>
      </c>
      <c r="D109" s="2">
        <v>76.249670646938199</v>
      </c>
      <c r="F109" t="s">
        <v>60</v>
      </c>
      <c r="G109" t="s">
        <v>10</v>
      </c>
    </row>
    <row r="110" spans="1:7" x14ac:dyDescent="0.25">
      <c r="A110" t="s">
        <v>62</v>
      </c>
      <c r="B110" t="s">
        <v>32</v>
      </c>
      <c r="C110">
        <f t="shared" si="4"/>
        <v>69</v>
      </c>
      <c r="D110" s="2">
        <v>76.249670646938199</v>
      </c>
      <c r="F110" t="s">
        <v>60</v>
      </c>
      <c r="G110" t="s">
        <v>10</v>
      </c>
    </row>
    <row r="111" spans="1:7" x14ac:dyDescent="0.25">
      <c r="A111" t="s">
        <v>13</v>
      </c>
      <c r="B111" t="s">
        <v>8</v>
      </c>
      <c r="C111">
        <v>12</v>
      </c>
      <c r="D111" s="3">
        <v>79.673726250808997</v>
      </c>
      <c r="E111" s="4"/>
      <c r="F111" t="s">
        <v>60</v>
      </c>
      <c r="G111" t="s">
        <v>10</v>
      </c>
    </row>
    <row r="112" spans="1:7" x14ac:dyDescent="0.25">
      <c r="A112" t="s">
        <v>13</v>
      </c>
      <c r="B112" t="s">
        <v>11</v>
      </c>
      <c r="C112">
        <v>24</v>
      </c>
      <c r="D112" s="3">
        <v>75.734216975162695</v>
      </c>
      <c r="E112" s="4"/>
      <c r="F112" t="s">
        <v>60</v>
      </c>
      <c r="G112" t="s">
        <v>10</v>
      </c>
    </row>
    <row r="113" spans="1:7" x14ac:dyDescent="0.25">
      <c r="A113" t="s">
        <v>63</v>
      </c>
      <c r="B113" t="s">
        <v>13</v>
      </c>
      <c r="C113">
        <v>3</v>
      </c>
      <c r="D113" s="3">
        <v>92.028279299821605</v>
      </c>
      <c r="F113" t="s">
        <v>60</v>
      </c>
      <c r="G113" t="s">
        <v>10</v>
      </c>
    </row>
    <row r="114" spans="1:7" x14ac:dyDescent="0.25">
      <c r="A114" t="s">
        <v>63</v>
      </c>
      <c r="B114" t="s">
        <v>8</v>
      </c>
      <c r="C114">
        <f>C113+12</f>
        <v>15</v>
      </c>
      <c r="D114" s="3">
        <v>80.378174189706797</v>
      </c>
      <c r="F114" t="s">
        <v>60</v>
      </c>
      <c r="G114" t="s">
        <v>10</v>
      </c>
    </row>
    <row r="115" spans="1:7" x14ac:dyDescent="0.25">
      <c r="A115" t="s">
        <v>63</v>
      </c>
      <c r="B115" t="s">
        <v>11</v>
      </c>
      <c r="C115">
        <f>C114+12</f>
        <v>27</v>
      </c>
      <c r="D115" s="3">
        <v>75.958642017111103</v>
      </c>
      <c r="F115" t="s">
        <v>60</v>
      </c>
      <c r="G115" t="s">
        <v>10</v>
      </c>
    </row>
    <row r="116" spans="1:7" x14ac:dyDescent="0.25">
      <c r="A116" t="s">
        <v>64</v>
      </c>
      <c r="B116" t="s">
        <v>13</v>
      </c>
      <c r="C116">
        <v>6</v>
      </c>
      <c r="D116" s="3">
        <v>96.342136422854281</v>
      </c>
      <c r="F116" t="s">
        <v>60</v>
      </c>
      <c r="G116" t="s">
        <v>10</v>
      </c>
    </row>
    <row r="117" spans="1:7" x14ac:dyDescent="0.25">
      <c r="A117" t="s">
        <v>64</v>
      </c>
      <c r="B117" t="s">
        <v>8</v>
      </c>
      <c r="C117">
        <f>C116+12</f>
        <v>18</v>
      </c>
      <c r="D117" s="3">
        <v>84.459014204964305</v>
      </c>
      <c r="F117" t="s">
        <v>60</v>
      </c>
      <c r="G117" t="s">
        <v>10</v>
      </c>
    </row>
    <row r="118" spans="1:7" x14ac:dyDescent="0.25">
      <c r="A118" t="s">
        <v>64</v>
      </c>
      <c r="B118" t="s">
        <v>11</v>
      </c>
      <c r="C118">
        <f>C117+12</f>
        <v>30</v>
      </c>
      <c r="D118" s="3">
        <v>77.450792306450893</v>
      </c>
      <c r="F118" t="s">
        <v>60</v>
      </c>
      <c r="G118" t="s">
        <v>10</v>
      </c>
    </row>
    <row r="119" spans="1:7" x14ac:dyDescent="0.25">
      <c r="A119" t="s">
        <v>65</v>
      </c>
      <c r="B119" t="s">
        <v>13</v>
      </c>
      <c r="C119">
        <v>9</v>
      </c>
      <c r="D119" s="3">
        <v>94.769766709333098</v>
      </c>
      <c r="F119" t="s">
        <v>60</v>
      </c>
      <c r="G119" t="s">
        <v>10</v>
      </c>
    </row>
    <row r="120" spans="1:7" x14ac:dyDescent="0.25">
      <c r="A120" t="s">
        <v>65</v>
      </c>
      <c r="B120" t="s">
        <v>8</v>
      </c>
      <c r="C120">
        <f>C119+12</f>
        <v>21</v>
      </c>
      <c r="D120" s="3">
        <v>83.786993148518604</v>
      </c>
      <c r="F120" t="s">
        <v>60</v>
      </c>
      <c r="G120" t="s">
        <v>10</v>
      </c>
    </row>
    <row r="121" spans="1:7" x14ac:dyDescent="0.25">
      <c r="A121" t="s">
        <v>65</v>
      </c>
      <c r="B121" t="s">
        <v>11</v>
      </c>
      <c r="C121">
        <f t="shared" ref="C121:C124" si="5">C120+12</f>
        <v>33</v>
      </c>
      <c r="D121" s="3">
        <v>76.834534068555399</v>
      </c>
      <c r="F121" t="s">
        <v>60</v>
      </c>
      <c r="G121" t="s">
        <v>10</v>
      </c>
    </row>
    <row r="122" spans="1:7" x14ac:dyDescent="0.25">
      <c r="A122" t="s">
        <v>65</v>
      </c>
      <c r="B122" t="s">
        <v>29</v>
      </c>
      <c r="C122">
        <f t="shared" si="5"/>
        <v>45</v>
      </c>
      <c r="D122" s="3">
        <v>75</v>
      </c>
      <c r="F122" t="s">
        <v>60</v>
      </c>
      <c r="G122" t="s">
        <v>10</v>
      </c>
    </row>
    <row r="123" spans="1:7" x14ac:dyDescent="0.25">
      <c r="A123" t="s">
        <v>65</v>
      </c>
      <c r="B123" t="s">
        <v>30</v>
      </c>
      <c r="C123">
        <f t="shared" si="5"/>
        <v>57</v>
      </c>
      <c r="D123" s="3">
        <v>75</v>
      </c>
      <c r="F123" t="s">
        <v>60</v>
      </c>
      <c r="G123" t="s">
        <v>10</v>
      </c>
    </row>
    <row r="124" spans="1:7" x14ac:dyDescent="0.25">
      <c r="A124" t="s">
        <v>65</v>
      </c>
      <c r="B124" t="s">
        <v>31</v>
      </c>
      <c r="C124">
        <f t="shared" si="5"/>
        <v>69</v>
      </c>
      <c r="D124" s="3">
        <v>75</v>
      </c>
      <c r="F124" t="s">
        <v>60</v>
      </c>
      <c r="G124" t="s">
        <v>10</v>
      </c>
    </row>
    <row r="125" spans="1:7" x14ac:dyDescent="0.25">
      <c r="A125" t="s">
        <v>16</v>
      </c>
      <c r="B125" t="s">
        <v>13</v>
      </c>
      <c r="C125">
        <v>12</v>
      </c>
      <c r="D125" s="3">
        <v>87.017284452771904</v>
      </c>
      <c r="F125" t="s">
        <v>60</v>
      </c>
      <c r="G125" t="s">
        <v>10</v>
      </c>
    </row>
    <row r="126" spans="1:7" x14ac:dyDescent="0.25">
      <c r="A126" t="s">
        <v>16</v>
      </c>
      <c r="B126" t="s">
        <v>8</v>
      </c>
      <c r="C126">
        <v>24</v>
      </c>
      <c r="D126" s="3">
        <v>76.594330581021296</v>
      </c>
      <c r="F126" t="s">
        <v>60</v>
      </c>
      <c r="G126" t="s">
        <v>10</v>
      </c>
    </row>
    <row r="127" spans="1:7" x14ac:dyDescent="0.25">
      <c r="A127" t="s">
        <v>66</v>
      </c>
      <c r="B127" t="s">
        <v>16</v>
      </c>
      <c r="C127">
        <v>3</v>
      </c>
      <c r="D127" s="3">
        <v>100.30100498013201</v>
      </c>
      <c r="F127" t="s">
        <v>60</v>
      </c>
      <c r="G127" t="s">
        <v>10</v>
      </c>
    </row>
    <row r="128" spans="1:7" x14ac:dyDescent="0.25">
      <c r="A128" t="s">
        <v>66</v>
      </c>
      <c r="B128" t="s">
        <v>13</v>
      </c>
      <c r="C128">
        <f>C127+12</f>
        <v>15</v>
      </c>
      <c r="D128" s="3">
        <v>84.496193911298903</v>
      </c>
      <c r="F128" t="s">
        <v>60</v>
      </c>
      <c r="G128" t="s">
        <v>10</v>
      </c>
    </row>
    <row r="129" spans="1:7" x14ac:dyDescent="0.25">
      <c r="A129" t="s">
        <v>66</v>
      </c>
      <c r="B129" t="s">
        <v>8</v>
      </c>
      <c r="C129">
        <f>C128+12</f>
        <v>27</v>
      </c>
      <c r="D129" s="3">
        <v>75.545249590398498</v>
      </c>
      <c r="F129" t="s">
        <v>60</v>
      </c>
      <c r="G129" t="s">
        <v>10</v>
      </c>
    </row>
    <row r="130" spans="1:7" x14ac:dyDescent="0.25">
      <c r="A130" t="s">
        <v>67</v>
      </c>
      <c r="B130" t="s">
        <v>16</v>
      </c>
      <c r="C130">
        <v>3</v>
      </c>
      <c r="D130" s="3">
        <v>98.351221086065593</v>
      </c>
      <c r="F130" t="s">
        <v>60</v>
      </c>
      <c r="G130" t="s">
        <v>10</v>
      </c>
    </row>
    <row r="131" spans="1:7" x14ac:dyDescent="0.25">
      <c r="A131" t="s">
        <v>67</v>
      </c>
      <c r="B131" t="s">
        <v>13</v>
      </c>
      <c r="C131">
        <f>C130+12</f>
        <v>15</v>
      </c>
      <c r="D131" s="3">
        <v>82.479260065568496</v>
      </c>
      <c r="F131" t="s">
        <v>60</v>
      </c>
      <c r="G131" t="s">
        <v>10</v>
      </c>
    </row>
    <row r="132" spans="1:7" x14ac:dyDescent="0.25">
      <c r="A132" t="s">
        <v>67</v>
      </c>
      <c r="B132" t="s">
        <v>8</v>
      </c>
      <c r="C132">
        <f>C131+12</f>
        <v>27</v>
      </c>
      <c r="D132" s="3">
        <v>73.91951463815785</v>
      </c>
      <c r="F132" t="s">
        <v>60</v>
      </c>
      <c r="G132" t="s">
        <v>10</v>
      </c>
    </row>
    <row r="133" spans="1:7" x14ac:dyDescent="0.25">
      <c r="A133" t="s">
        <v>68</v>
      </c>
      <c r="B133" t="s">
        <v>16</v>
      </c>
      <c r="C133">
        <v>3</v>
      </c>
      <c r="D133" s="3">
        <v>99.575000000000003</v>
      </c>
      <c r="F133" t="s">
        <v>60</v>
      </c>
      <c r="G133" t="s">
        <v>10</v>
      </c>
    </row>
    <row r="134" spans="1:7" x14ac:dyDescent="0.25">
      <c r="A134" t="s">
        <v>68</v>
      </c>
      <c r="B134" t="s">
        <v>13</v>
      </c>
      <c r="C134">
        <f>C133+12</f>
        <v>15</v>
      </c>
      <c r="D134" s="3">
        <v>79.628724271999999</v>
      </c>
      <c r="F134" t="s">
        <v>60</v>
      </c>
      <c r="G134" t="s">
        <v>10</v>
      </c>
    </row>
    <row r="135" spans="1:7" x14ac:dyDescent="0.25">
      <c r="A135" t="s">
        <v>68</v>
      </c>
      <c r="B135" t="s">
        <v>8</v>
      </c>
      <c r="C135">
        <f>C134+12</f>
        <v>27</v>
      </c>
      <c r="D135" s="3">
        <v>71.905156567618107</v>
      </c>
      <c r="F135" t="s">
        <v>60</v>
      </c>
      <c r="G135" t="s">
        <v>10</v>
      </c>
    </row>
    <row r="136" spans="1:7" x14ac:dyDescent="0.25">
      <c r="A136" t="s">
        <v>68</v>
      </c>
      <c r="B136" t="s">
        <v>11</v>
      </c>
      <c r="C136">
        <f>C135+12</f>
        <v>39</v>
      </c>
      <c r="D136" s="3">
        <v>69.463391169198601</v>
      </c>
      <c r="F136" t="s">
        <v>60</v>
      </c>
      <c r="G136" t="s">
        <v>10</v>
      </c>
    </row>
    <row r="137" spans="1:7" x14ac:dyDescent="0.25">
      <c r="A137" t="s">
        <v>68</v>
      </c>
      <c r="B137" t="s">
        <v>29</v>
      </c>
      <c r="C137">
        <f t="shared" ref="C137:C138" si="6">C136+12</f>
        <v>51</v>
      </c>
      <c r="D137" s="3">
        <v>69.306036394337596</v>
      </c>
      <c r="F137" t="s">
        <v>60</v>
      </c>
      <c r="G137" t="s">
        <v>10</v>
      </c>
    </row>
    <row r="138" spans="1:7" x14ac:dyDescent="0.25">
      <c r="A138" t="s">
        <v>68</v>
      </c>
      <c r="B138" t="s">
        <v>30</v>
      </c>
      <c r="C138">
        <f t="shared" si="6"/>
        <v>63</v>
      </c>
      <c r="D138" s="3">
        <v>69.306036394337596</v>
      </c>
      <c r="F138" t="s">
        <v>60</v>
      </c>
      <c r="G138" t="s">
        <v>10</v>
      </c>
    </row>
    <row r="139" spans="1:7" x14ac:dyDescent="0.25">
      <c r="A139" t="s">
        <v>19</v>
      </c>
      <c r="B139" t="s">
        <v>16</v>
      </c>
      <c r="C139">
        <v>12</v>
      </c>
      <c r="D139" s="5">
        <v>84.5</v>
      </c>
      <c r="F139" t="s">
        <v>60</v>
      </c>
      <c r="G139" t="s">
        <v>10</v>
      </c>
    </row>
    <row r="140" spans="1:7" x14ac:dyDescent="0.25">
      <c r="A140" t="s">
        <v>19</v>
      </c>
      <c r="B140" t="s">
        <v>13</v>
      </c>
      <c r="C140">
        <v>24</v>
      </c>
      <c r="D140" s="5">
        <v>72.582130079999999</v>
      </c>
      <c r="F140" t="s">
        <v>60</v>
      </c>
      <c r="G140" t="s">
        <v>10</v>
      </c>
    </row>
    <row r="141" spans="1:7" x14ac:dyDescent="0.25">
      <c r="A141" t="s">
        <v>69</v>
      </c>
      <c r="B141" t="s">
        <v>19</v>
      </c>
      <c r="C141">
        <v>3</v>
      </c>
      <c r="D141" s="5">
        <v>106.68087865053801</v>
      </c>
      <c r="F141" t="s">
        <v>60</v>
      </c>
      <c r="G141" t="s">
        <v>10</v>
      </c>
    </row>
    <row r="142" spans="1:7" x14ac:dyDescent="0.25">
      <c r="A142" t="s">
        <v>69</v>
      </c>
      <c r="B142" t="s">
        <v>16</v>
      </c>
      <c r="C142">
        <v>15</v>
      </c>
      <c r="D142" s="5">
        <v>91.451999999999998</v>
      </c>
      <c r="F142" t="s">
        <v>60</v>
      </c>
      <c r="G142" t="s">
        <v>10</v>
      </c>
    </row>
    <row r="143" spans="1:7" x14ac:dyDescent="0.25">
      <c r="A143" t="s">
        <v>69</v>
      </c>
      <c r="B143" t="s">
        <v>13</v>
      </c>
      <c r="C143">
        <v>27</v>
      </c>
      <c r="D143" s="5">
        <v>72.051653277439996</v>
      </c>
      <c r="F143" t="s">
        <v>60</v>
      </c>
      <c r="G143" t="s">
        <v>10</v>
      </c>
    </row>
    <row r="144" spans="1:7" x14ac:dyDescent="0.25">
      <c r="A144" t="s">
        <v>70</v>
      </c>
      <c r="B144" t="s">
        <v>19</v>
      </c>
      <c r="C144">
        <f>C141+3</f>
        <v>6</v>
      </c>
      <c r="D144" s="5">
        <v>113.64238763737499</v>
      </c>
      <c r="F144" t="s">
        <v>60</v>
      </c>
      <c r="G144" t="s">
        <v>10</v>
      </c>
    </row>
    <row r="145" spans="1:7" x14ac:dyDescent="0.25">
      <c r="A145" t="s">
        <v>70</v>
      </c>
      <c r="B145" t="s">
        <v>16</v>
      </c>
      <c r="C145">
        <f t="shared" ref="C145:C146" si="7">C142+3</f>
        <v>18</v>
      </c>
      <c r="D145" s="5">
        <v>83.915909437160195</v>
      </c>
      <c r="F145" t="s">
        <v>60</v>
      </c>
      <c r="G145" t="s">
        <v>10</v>
      </c>
    </row>
    <row r="146" spans="1:7" x14ac:dyDescent="0.25">
      <c r="A146" t="s">
        <v>70</v>
      </c>
      <c r="B146" t="s">
        <v>13</v>
      </c>
      <c r="C146">
        <f t="shared" si="7"/>
        <v>30</v>
      </c>
      <c r="D146" s="5">
        <v>69.725590454481306</v>
      </c>
      <c r="F146" t="s">
        <v>60</v>
      </c>
      <c r="G146" t="s">
        <v>10</v>
      </c>
    </row>
    <row r="147" spans="1:7" x14ac:dyDescent="0.25">
      <c r="A147" t="s">
        <v>71</v>
      </c>
      <c r="B147" t="s">
        <v>19</v>
      </c>
      <c r="C147">
        <v>9</v>
      </c>
      <c r="D147" s="5">
        <v>108.64555</v>
      </c>
      <c r="F147" t="s">
        <v>60</v>
      </c>
      <c r="G147" t="s">
        <v>10</v>
      </c>
    </row>
    <row r="148" spans="1:7" x14ac:dyDescent="0.25">
      <c r="A148" t="s">
        <v>71</v>
      </c>
      <c r="B148" t="s">
        <v>16</v>
      </c>
      <c r="C148">
        <f>C147+12</f>
        <v>21</v>
      </c>
      <c r="D148" s="5">
        <v>79.099797059121101</v>
      </c>
      <c r="F148" t="s">
        <v>60</v>
      </c>
      <c r="G148" t="s">
        <v>10</v>
      </c>
    </row>
    <row r="149" spans="1:7" x14ac:dyDescent="0.25">
      <c r="A149" t="s">
        <v>71</v>
      </c>
      <c r="B149" t="s">
        <v>13</v>
      </c>
      <c r="C149">
        <f t="shared" ref="C149:C152" si="8">C148+12</f>
        <v>33</v>
      </c>
      <c r="D149" s="5">
        <v>71.211057985772399</v>
      </c>
      <c r="F149" t="s">
        <v>60</v>
      </c>
      <c r="G149" t="s">
        <v>10</v>
      </c>
    </row>
    <row r="150" spans="1:7" x14ac:dyDescent="0.25">
      <c r="A150" t="s">
        <v>71</v>
      </c>
      <c r="B150" t="s">
        <v>8</v>
      </c>
      <c r="C150">
        <f t="shared" si="8"/>
        <v>45</v>
      </c>
      <c r="D150" s="5">
        <v>68.405058169011497</v>
      </c>
      <c r="F150" t="s">
        <v>60</v>
      </c>
      <c r="G150" t="s">
        <v>10</v>
      </c>
    </row>
    <row r="151" spans="1:7" x14ac:dyDescent="0.25">
      <c r="A151" t="s">
        <v>71</v>
      </c>
      <c r="B151" t="s">
        <v>11</v>
      </c>
      <c r="C151">
        <f t="shared" si="8"/>
        <v>57</v>
      </c>
      <c r="D151" s="5">
        <v>65.709625940970398</v>
      </c>
      <c r="F151" t="s">
        <v>60</v>
      </c>
      <c r="G151" t="s">
        <v>10</v>
      </c>
    </row>
    <row r="152" spans="1:7" x14ac:dyDescent="0.25">
      <c r="A152" t="s">
        <v>71</v>
      </c>
      <c r="B152" t="s">
        <v>29</v>
      </c>
      <c r="C152">
        <f t="shared" si="8"/>
        <v>69</v>
      </c>
      <c r="D152" s="5">
        <v>63.1204044974887</v>
      </c>
      <c r="F152" t="s">
        <v>60</v>
      </c>
      <c r="G152" t="s">
        <v>10</v>
      </c>
    </row>
    <row r="153" spans="1:7" x14ac:dyDescent="0.25">
      <c r="A153" t="s">
        <v>22</v>
      </c>
      <c r="B153" t="s">
        <v>19</v>
      </c>
      <c r="C153">
        <v>12</v>
      </c>
      <c r="D153" s="5">
        <v>79.314296874999997</v>
      </c>
      <c r="F153" t="s">
        <v>60</v>
      </c>
      <c r="G153" t="s">
        <v>10</v>
      </c>
    </row>
    <row r="154" spans="1:7" x14ac:dyDescent="0.25">
      <c r="A154" t="s">
        <v>22</v>
      </c>
      <c r="B154" t="s">
        <v>16</v>
      </c>
      <c r="C154">
        <v>24</v>
      </c>
      <c r="D154" s="5">
        <v>70.235432700897206</v>
      </c>
      <c r="F154" t="s">
        <v>60</v>
      </c>
      <c r="G154" t="s">
        <v>10</v>
      </c>
    </row>
    <row r="155" spans="1:7" x14ac:dyDescent="0.25">
      <c r="A155" t="s">
        <v>72</v>
      </c>
      <c r="B155" t="s">
        <v>22</v>
      </c>
      <c r="C155">
        <v>3</v>
      </c>
      <c r="D155" s="5">
        <v>149.76193040860201</v>
      </c>
      <c r="F155" t="s">
        <v>60</v>
      </c>
      <c r="G155" t="s">
        <v>10</v>
      </c>
    </row>
    <row r="156" spans="1:7" x14ac:dyDescent="0.25">
      <c r="A156" t="s">
        <v>72</v>
      </c>
      <c r="B156" t="s">
        <v>19</v>
      </c>
      <c r="C156">
        <v>15</v>
      </c>
      <c r="D156" s="5">
        <v>92.855671874999999</v>
      </c>
      <c r="F156" t="s">
        <v>60</v>
      </c>
      <c r="G156" t="s">
        <v>10</v>
      </c>
    </row>
    <row r="157" spans="1:7" x14ac:dyDescent="0.25">
      <c r="A157" t="s">
        <v>72</v>
      </c>
      <c r="B157" t="s">
        <v>16</v>
      </c>
      <c r="C157">
        <v>27</v>
      </c>
      <c r="D157" s="5">
        <v>81.020811840106205</v>
      </c>
      <c r="F157" t="s">
        <v>60</v>
      </c>
      <c r="G157" t="s">
        <v>10</v>
      </c>
    </row>
    <row r="158" spans="1:7" x14ac:dyDescent="0.25">
      <c r="A158" t="s">
        <v>57</v>
      </c>
      <c r="B158" t="s">
        <v>22</v>
      </c>
      <c r="C158">
        <v>6</v>
      </c>
      <c r="D158" s="5">
        <v>151.54878954166699</v>
      </c>
      <c r="F158" t="s">
        <v>60</v>
      </c>
      <c r="G158" t="s">
        <v>10</v>
      </c>
    </row>
    <row r="159" spans="1:7" x14ac:dyDescent="0.25">
      <c r="A159" t="s">
        <v>57</v>
      </c>
      <c r="B159" t="s">
        <v>19</v>
      </c>
      <c r="C159">
        <v>18</v>
      </c>
      <c r="D159" s="5">
        <v>109.004484375</v>
      </c>
      <c r="F159" t="s">
        <v>60</v>
      </c>
      <c r="G159" t="s">
        <v>10</v>
      </c>
    </row>
    <row r="160" spans="1:7" x14ac:dyDescent="0.25">
      <c r="A160" t="s">
        <v>57</v>
      </c>
      <c r="B160" t="s">
        <v>16</v>
      </c>
      <c r="C160">
        <v>30</v>
      </c>
      <c r="D160" s="5">
        <v>95.111387812298602</v>
      </c>
      <c r="F160" t="s">
        <v>60</v>
      </c>
      <c r="G160" t="s">
        <v>10</v>
      </c>
    </row>
    <row r="161" spans="1:7" x14ac:dyDescent="0.25">
      <c r="A161" t="s">
        <v>73</v>
      </c>
      <c r="B161" t="s">
        <v>22</v>
      </c>
      <c r="C161">
        <v>9</v>
      </c>
      <c r="D161" s="5">
        <v>110.44499999999999</v>
      </c>
      <c r="F161" t="s">
        <v>60</v>
      </c>
      <c r="G161" t="s">
        <v>10</v>
      </c>
    </row>
    <row r="162" spans="1:7" x14ac:dyDescent="0.25">
      <c r="A162" t="s">
        <v>73</v>
      </c>
      <c r="B162" t="s">
        <v>19</v>
      </c>
      <c r="C162">
        <f>C161+12</f>
        <v>21</v>
      </c>
      <c r="D162" s="5">
        <v>88.090905075468797</v>
      </c>
      <c r="F162" t="s">
        <v>60</v>
      </c>
      <c r="G162" t="s">
        <v>10</v>
      </c>
    </row>
    <row r="163" spans="1:7" x14ac:dyDescent="0.25">
      <c r="A163" t="s">
        <v>73</v>
      </c>
      <c r="B163" t="s">
        <v>16</v>
      </c>
      <c r="C163">
        <f t="shared" ref="C163:C166" si="9">C162+12</f>
        <v>33</v>
      </c>
      <c r="D163" s="5">
        <v>81.853513305987406</v>
      </c>
      <c r="F163" t="s">
        <v>60</v>
      </c>
      <c r="G163" t="s">
        <v>10</v>
      </c>
    </row>
    <row r="164" spans="1:7" x14ac:dyDescent="0.25">
      <c r="A164" t="s">
        <v>73</v>
      </c>
      <c r="B164" t="s">
        <v>13</v>
      </c>
      <c r="C164">
        <f t="shared" si="9"/>
        <v>45</v>
      </c>
      <c r="D164" s="5">
        <v>78.946329486634696</v>
      </c>
      <c r="F164" t="s">
        <v>60</v>
      </c>
      <c r="G164" t="s">
        <v>10</v>
      </c>
    </row>
    <row r="165" spans="1:7" x14ac:dyDescent="0.25">
      <c r="A165" t="s">
        <v>73</v>
      </c>
      <c r="B165" t="s">
        <v>8</v>
      </c>
      <c r="C165">
        <f t="shared" si="9"/>
        <v>57</v>
      </c>
      <c r="D165" s="5">
        <v>77.4511876323905</v>
      </c>
      <c r="F165" t="s">
        <v>60</v>
      </c>
      <c r="G165" t="s">
        <v>10</v>
      </c>
    </row>
    <row r="166" spans="1:7" x14ac:dyDescent="0.25">
      <c r="A166" t="s">
        <v>73</v>
      </c>
      <c r="B166" t="s">
        <v>11</v>
      </c>
      <c r="C166">
        <f t="shared" si="9"/>
        <v>69</v>
      </c>
      <c r="D166" s="5">
        <v>77.141847279259395</v>
      </c>
      <c r="F166" t="s">
        <v>60</v>
      </c>
      <c r="G166" t="s">
        <v>10</v>
      </c>
    </row>
    <row r="167" spans="1:7" x14ac:dyDescent="0.25">
      <c r="A167" t="s">
        <v>40</v>
      </c>
      <c r="B167" t="s">
        <v>28</v>
      </c>
      <c r="C167">
        <v>12</v>
      </c>
      <c r="D167" s="5">
        <v>53</v>
      </c>
      <c r="F167" t="s">
        <v>60</v>
      </c>
      <c r="G167" t="s">
        <v>10</v>
      </c>
    </row>
    <row r="168" spans="1:7" x14ac:dyDescent="0.25">
      <c r="A168" t="s">
        <v>40</v>
      </c>
      <c r="B168" t="s">
        <v>25</v>
      </c>
      <c r="C168">
        <v>24</v>
      </c>
      <c r="D168" s="5">
        <v>51</v>
      </c>
      <c r="F168" t="s">
        <v>60</v>
      </c>
      <c r="G168" t="s">
        <v>10</v>
      </c>
    </row>
    <row r="169" spans="1:7" x14ac:dyDescent="0.25">
      <c r="A169" t="s">
        <v>74</v>
      </c>
      <c r="B169" t="s">
        <v>75</v>
      </c>
      <c r="C169">
        <v>18</v>
      </c>
      <c r="D169" s="1">
        <f>55.7*0.7</f>
        <v>38.99</v>
      </c>
      <c r="F169" t="s">
        <v>53</v>
      </c>
      <c r="G169" t="s">
        <v>10</v>
      </c>
    </row>
    <row r="170" spans="1:7" x14ac:dyDescent="0.25">
      <c r="A170" t="s">
        <v>35</v>
      </c>
      <c r="B170" t="s">
        <v>76</v>
      </c>
      <c r="C170">
        <v>7</v>
      </c>
      <c r="D170" s="1">
        <v>51</v>
      </c>
      <c r="F170" t="s">
        <v>77</v>
      </c>
      <c r="G170" t="s">
        <v>10</v>
      </c>
    </row>
    <row r="171" spans="1:7" x14ac:dyDescent="0.25">
      <c r="A171" t="s">
        <v>35</v>
      </c>
      <c r="B171" t="s">
        <v>76</v>
      </c>
      <c r="C171">
        <v>7</v>
      </c>
      <c r="D171" s="5">
        <v>63</v>
      </c>
      <c r="F171" t="s">
        <v>78</v>
      </c>
      <c r="G171" t="s">
        <v>10</v>
      </c>
    </row>
    <row r="172" spans="1:7" x14ac:dyDescent="0.25">
      <c r="A172" t="s">
        <v>79</v>
      </c>
      <c r="B172" t="s">
        <v>42</v>
      </c>
      <c r="C172">
        <v>9</v>
      </c>
      <c r="D172" s="1">
        <v>172</v>
      </c>
      <c r="F172" t="s">
        <v>60</v>
      </c>
      <c r="G172" t="s">
        <v>10</v>
      </c>
    </row>
    <row r="173" spans="1:7" x14ac:dyDescent="0.25">
      <c r="A173" t="s">
        <v>79</v>
      </c>
      <c r="B173" t="s">
        <v>37</v>
      </c>
      <c r="C173">
        <f>+C172+12</f>
        <v>21</v>
      </c>
      <c r="D173" s="1">
        <v>179</v>
      </c>
      <c r="F173" t="s">
        <v>60</v>
      </c>
      <c r="G173" t="s">
        <v>10</v>
      </c>
    </row>
    <row r="174" spans="1:7" x14ac:dyDescent="0.25">
      <c r="A174" t="s">
        <v>79</v>
      </c>
      <c r="B174" t="s">
        <v>35</v>
      </c>
      <c r="C174">
        <f t="shared" ref="C174:C177" si="10">+C173+12</f>
        <v>33</v>
      </c>
      <c r="D174" s="1">
        <v>180</v>
      </c>
      <c r="F174" t="s">
        <v>60</v>
      </c>
      <c r="G174" t="s">
        <v>10</v>
      </c>
    </row>
    <row r="175" spans="1:7" x14ac:dyDescent="0.25">
      <c r="A175" t="s">
        <v>79</v>
      </c>
      <c r="B175" t="s">
        <v>38</v>
      </c>
      <c r="C175">
        <f t="shared" si="10"/>
        <v>45</v>
      </c>
      <c r="D175" s="1">
        <v>180</v>
      </c>
      <c r="F175" t="s">
        <v>60</v>
      </c>
      <c r="G175" t="s">
        <v>10</v>
      </c>
    </row>
    <row r="176" spans="1:7" x14ac:dyDescent="0.25">
      <c r="A176" t="s">
        <v>79</v>
      </c>
      <c r="B176" t="s">
        <v>39</v>
      </c>
      <c r="C176">
        <f t="shared" si="10"/>
        <v>57</v>
      </c>
      <c r="D176" s="1">
        <v>184</v>
      </c>
      <c r="F176" t="s">
        <v>60</v>
      </c>
      <c r="G176" t="s">
        <v>10</v>
      </c>
    </row>
    <row r="177" spans="1:7" x14ac:dyDescent="0.25">
      <c r="A177" t="s">
        <v>79</v>
      </c>
      <c r="B177" t="s">
        <v>40</v>
      </c>
      <c r="C177">
        <f t="shared" si="10"/>
        <v>69</v>
      </c>
      <c r="D177" s="1">
        <v>188</v>
      </c>
      <c r="F177" t="s">
        <v>60</v>
      </c>
      <c r="G177" t="s">
        <v>10</v>
      </c>
    </row>
    <row r="178" spans="1:7" x14ac:dyDescent="0.25">
      <c r="A178" t="s">
        <v>80</v>
      </c>
      <c r="B178" t="s">
        <v>42</v>
      </c>
      <c r="C178">
        <v>6</v>
      </c>
      <c r="D178" s="1">
        <v>117</v>
      </c>
      <c r="F178" t="s">
        <v>60</v>
      </c>
      <c r="G178" t="s">
        <v>10</v>
      </c>
    </row>
    <row r="179" spans="1:7" x14ac:dyDescent="0.25">
      <c r="A179" t="s">
        <v>80</v>
      </c>
      <c r="B179" t="s">
        <v>37</v>
      </c>
      <c r="C179">
        <v>18</v>
      </c>
      <c r="D179" s="1">
        <v>112</v>
      </c>
      <c r="F179" t="s">
        <v>60</v>
      </c>
      <c r="G179" t="s">
        <v>10</v>
      </c>
    </row>
    <row r="180" spans="1:7" x14ac:dyDescent="0.25">
      <c r="A180" t="s">
        <v>81</v>
      </c>
      <c r="B180" t="s">
        <v>42</v>
      </c>
      <c r="C180">
        <v>3</v>
      </c>
      <c r="D180" s="1">
        <v>121</v>
      </c>
      <c r="F180" t="s">
        <v>60</v>
      </c>
      <c r="G180" t="s">
        <v>10</v>
      </c>
    </row>
    <row r="181" spans="1:7" x14ac:dyDescent="0.25">
      <c r="A181" t="s">
        <v>81</v>
      </c>
      <c r="B181" t="s">
        <v>37</v>
      </c>
      <c r="C181">
        <f>C180+12</f>
        <v>15</v>
      </c>
      <c r="D181" s="1">
        <v>119</v>
      </c>
      <c r="F181" t="s">
        <v>60</v>
      </c>
      <c r="G181" t="s">
        <v>10</v>
      </c>
    </row>
    <row r="182" spans="1:7" x14ac:dyDescent="0.25">
      <c r="A182" t="s">
        <v>81</v>
      </c>
      <c r="B182" t="s">
        <v>35</v>
      </c>
      <c r="C182">
        <f t="shared" ref="C182:C185" si="11">C181+12</f>
        <v>27</v>
      </c>
      <c r="D182" s="1">
        <v>108</v>
      </c>
      <c r="F182" t="s">
        <v>60</v>
      </c>
      <c r="G182" t="s">
        <v>10</v>
      </c>
    </row>
    <row r="183" spans="1:7" x14ac:dyDescent="0.25">
      <c r="A183" t="s">
        <v>81</v>
      </c>
      <c r="B183" t="s">
        <v>38</v>
      </c>
      <c r="C183">
        <f t="shared" si="11"/>
        <v>39</v>
      </c>
      <c r="D183" s="1">
        <v>101</v>
      </c>
      <c r="F183" t="s">
        <v>60</v>
      </c>
      <c r="G183" t="s">
        <v>10</v>
      </c>
    </row>
    <row r="184" spans="1:7" x14ac:dyDescent="0.25">
      <c r="A184" t="s">
        <v>81</v>
      </c>
      <c r="B184" t="s">
        <v>39</v>
      </c>
      <c r="C184">
        <f t="shared" si="11"/>
        <v>51</v>
      </c>
      <c r="D184" s="1">
        <v>99</v>
      </c>
      <c r="F184" t="s">
        <v>60</v>
      </c>
      <c r="G184" t="s">
        <v>10</v>
      </c>
    </row>
    <row r="185" spans="1:7" x14ac:dyDescent="0.25">
      <c r="A185" t="s">
        <v>81</v>
      </c>
      <c r="B185" t="s">
        <v>40</v>
      </c>
      <c r="C185">
        <f t="shared" si="11"/>
        <v>63</v>
      </c>
      <c r="D185" s="1">
        <v>97</v>
      </c>
      <c r="F185" t="s">
        <v>60</v>
      </c>
      <c r="G185" t="s">
        <v>10</v>
      </c>
    </row>
    <row r="186" spans="1:7" x14ac:dyDescent="0.25">
      <c r="A186" t="s">
        <v>42</v>
      </c>
      <c r="B186" t="s">
        <v>37</v>
      </c>
      <c r="C186">
        <v>12</v>
      </c>
      <c r="D186" s="1">
        <v>122.3</v>
      </c>
      <c r="F186" t="s">
        <v>60</v>
      </c>
      <c r="G186" t="s">
        <v>10</v>
      </c>
    </row>
    <row r="187" spans="1:7" x14ac:dyDescent="0.25">
      <c r="A187" t="s">
        <v>82</v>
      </c>
      <c r="B187" t="s">
        <v>37</v>
      </c>
      <c r="C187">
        <v>9</v>
      </c>
      <c r="D187" s="1">
        <v>127.5</v>
      </c>
      <c r="F187" t="s">
        <v>60</v>
      </c>
      <c r="G187" t="s">
        <v>10</v>
      </c>
    </row>
    <row r="188" spans="1:7" x14ac:dyDescent="0.25">
      <c r="A188" t="s">
        <v>82</v>
      </c>
      <c r="B188" t="s">
        <v>35</v>
      </c>
      <c r="C188">
        <f>C187+12</f>
        <v>21</v>
      </c>
      <c r="D188" s="1">
        <v>102.8</v>
      </c>
      <c r="F188" t="s">
        <v>60</v>
      </c>
      <c r="G188" t="s">
        <v>10</v>
      </c>
    </row>
    <row r="189" spans="1:7" x14ac:dyDescent="0.25">
      <c r="A189" t="s">
        <v>82</v>
      </c>
      <c r="B189" t="s">
        <v>38</v>
      </c>
      <c r="C189">
        <f t="shared" ref="C189:C192" si="12">C188+12</f>
        <v>33</v>
      </c>
      <c r="D189" s="1">
        <v>101.2</v>
      </c>
      <c r="F189" t="s">
        <v>60</v>
      </c>
      <c r="G189" t="s">
        <v>10</v>
      </c>
    </row>
    <row r="190" spans="1:7" x14ac:dyDescent="0.25">
      <c r="A190" t="s">
        <v>82</v>
      </c>
      <c r="B190" t="s">
        <v>39</v>
      </c>
      <c r="C190">
        <f t="shared" si="12"/>
        <v>45</v>
      </c>
      <c r="D190" s="1">
        <v>97.1</v>
      </c>
      <c r="F190" t="s">
        <v>60</v>
      </c>
      <c r="G190" t="s">
        <v>10</v>
      </c>
    </row>
    <row r="191" spans="1:7" x14ac:dyDescent="0.25">
      <c r="A191" t="s">
        <v>82</v>
      </c>
      <c r="B191" t="s">
        <v>40</v>
      </c>
      <c r="C191">
        <f t="shared" si="12"/>
        <v>57</v>
      </c>
      <c r="D191" s="1">
        <v>95.9</v>
      </c>
      <c r="F191" t="s">
        <v>60</v>
      </c>
      <c r="G191" t="s">
        <v>10</v>
      </c>
    </row>
    <row r="192" spans="1:7" x14ac:dyDescent="0.25">
      <c r="A192" t="s">
        <v>82</v>
      </c>
      <c r="B192" t="s">
        <v>28</v>
      </c>
      <c r="C192">
        <f t="shared" si="12"/>
        <v>69</v>
      </c>
      <c r="D192" s="1">
        <v>95.8</v>
      </c>
      <c r="F192" t="s">
        <v>60</v>
      </c>
      <c r="G192" t="s">
        <v>10</v>
      </c>
    </row>
    <row r="193" spans="1:7" x14ac:dyDescent="0.25">
      <c r="A193" t="s">
        <v>83</v>
      </c>
      <c r="B193" t="s">
        <v>37</v>
      </c>
      <c r="C193">
        <v>6</v>
      </c>
      <c r="D193" s="1">
        <v>105.2</v>
      </c>
      <c r="F193" t="s">
        <v>60</v>
      </c>
      <c r="G193" t="s">
        <v>10</v>
      </c>
    </row>
    <row r="194" spans="1:7" x14ac:dyDescent="0.25">
      <c r="A194" t="s">
        <v>83</v>
      </c>
      <c r="B194" t="s">
        <v>35</v>
      </c>
      <c r="C194">
        <v>18</v>
      </c>
      <c r="D194" s="1">
        <v>96.5</v>
      </c>
      <c r="F194" t="s">
        <v>60</v>
      </c>
      <c r="G194" t="s">
        <v>10</v>
      </c>
    </row>
    <row r="195" spans="1:7" x14ac:dyDescent="0.25">
      <c r="A195" t="s">
        <v>84</v>
      </c>
      <c r="B195" t="s">
        <v>37</v>
      </c>
      <c r="C195">
        <v>3</v>
      </c>
      <c r="D195" s="1">
        <v>93.6</v>
      </c>
      <c r="F195" t="s">
        <v>60</v>
      </c>
      <c r="G195" t="s">
        <v>10</v>
      </c>
    </row>
    <row r="196" spans="1:7" x14ac:dyDescent="0.25">
      <c r="A196" t="s">
        <v>84</v>
      </c>
      <c r="B196" t="s">
        <v>35</v>
      </c>
      <c r="C196">
        <f>C195+12</f>
        <v>15</v>
      </c>
      <c r="D196" s="1">
        <v>94.3</v>
      </c>
      <c r="F196" t="s">
        <v>60</v>
      </c>
      <c r="G196" t="s">
        <v>10</v>
      </c>
    </row>
    <row r="197" spans="1:7" x14ac:dyDescent="0.25">
      <c r="A197" t="s">
        <v>84</v>
      </c>
      <c r="B197" t="s">
        <v>38</v>
      </c>
      <c r="C197">
        <f t="shared" ref="C197:C200" si="13">C196+12</f>
        <v>27</v>
      </c>
      <c r="D197" s="1">
        <v>89.8</v>
      </c>
      <c r="F197" t="s">
        <v>60</v>
      </c>
      <c r="G197" t="s">
        <v>10</v>
      </c>
    </row>
    <row r="198" spans="1:7" x14ac:dyDescent="0.25">
      <c r="A198" t="s">
        <v>84</v>
      </c>
      <c r="B198" t="s">
        <v>39</v>
      </c>
      <c r="C198">
        <f t="shared" si="13"/>
        <v>39</v>
      </c>
      <c r="D198" s="1">
        <v>91.5</v>
      </c>
      <c r="F198" t="s">
        <v>60</v>
      </c>
      <c r="G198" t="s">
        <v>10</v>
      </c>
    </row>
    <row r="199" spans="1:7" x14ac:dyDescent="0.25">
      <c r="A199" t="s">
        <v>84</v>
      </c>
      <c r="B199" t="s">
        <v>40</v>
      </c>
      <c r="C199">
        <f t="shared" si="13"/>
        <v>51</v>
      </c>
      <c r="D199" s="1">
        <v>93.2</v>
      </c>
      <c r="F199" t="s">
        <v>60</v>
      </c>
      <c r="G199" t="s">
        <v>10</v>
      </c>
    </row>
    <row r="200" spans="1:7" x14ac:dyDescent="0.25">
      <c r="A200" t="s">
        <v>84</v>
      </c>
      <c r="B200" t="s">
        <v>28</v>
      </c>
      <c r="C200">
        <f t="shared" si="13"/>
        <v>63</v>
      </c>
      <c r="D200" s="1">
        <v>94.6</v>
      </c>
      <c r="F200" t="s">
        <v>60</v>
      </c>
      <c r="G200" t="s">
        <v>10</v>
      </c>
    </row>
    <row r="201" spans="1:7" x14ac:dyDescent="0.25">
      <c r="A201" t="s">
        <v>37</v>
      </c>
      <c r="B201" t="s">
        <v>35</v>
      </c>
      <c r="C201">
        <v>12</v>
      </c>
      <c r="D201" s="1">
        <v>63</v>
      </c>
      <c r="F201" t="s">
        <v>60</v>
      </c>
      <c r="G201" t="s">
        <v>10</v>
      </c>
    </row>
    <row r="202" spans="1:7" x14ac:dyDescent="0.25">
      <c r="A202" t="s">
        <v>85</v>
      </c>
      <c r="B202" t="s">
        <v>35</v>
      </c>
      <c r="C202">
        <v>9</v>
      </c>
      <c r="D202" s="1">
        <v>60.4</v>
      </c>
      <c r="F202" t="s">
        <v>60</v>
      </c>
      <c r="G202" t="s">
        <v>10</v>
      </c>
    </row>
    <row r="203" spans="1:7" x14ac:dyDescent="0.25">
      <c r="A203" t="s">
        <v>85</v>
      </c>
      <c r="B203" t="s">
        <v>38</v>
      </c>
      <c r="C203">
        <f>C202+12</f>
        <v>21</v>
      </c>
      <c r="D203" s="1">
        <v>56.8</v>
      </c>
      <c r="F203" t="s">
        <v>60</v>
      </c>
      <c r="G203" t="s">
        <v>10</v>
      </c>
    </row>
    <row r="204" spans="1:7" x14ac:dyDescent="0.25">
      <c r="A204" t="s">
        <v>85</v>
      </c>
      <c r="B204" t="s">
        <v>39</v>
      </c>
      <c r="C204">
        <f t="shared" ref="C204:C207" si="14">C203+12</f>
        <v>33</v>
      </c>
      <c r="D204" s="1">
        <v>64.599999999999994</v>
      </c>
      <c r="F204" t="s">
        <v>60</v>
      </c>
      <c r="G204" t="s">
        <v>10</v>
      </c>
    </row>
    <row r="205" spans="1:7" x14ac:dyDescent="0.25">
      <c r="A205" t="s">
        <v>85</v>
      </c>
      <c r="B205" t="s">
        <v>40</v>
      </c>
      <c r="C205">
        <f t="shared" si="14"/>
        <v>45</v>
      </c>
      <c r="D205" s="1">
        <v>71.7</v>
      </c>
      <c r="F205" t="s">
        <v>60</v>
      </c>
      <c r="G205" t="s">
        <v>10</v>
      </c>
    </row>
    <row r="206" spans="1:7" x14ac:dyDescent="0.25">
      <c r="A206" t="s">
        <v>85</v>
      </c>
      <c r="B206" t="s">
        <v>28</v>
      </c>
      <c r="C206">
        <f t="shared" si="14"/>
        <v>57</v>
      </c>
      <c r="D206" s="1">
        <v>76.7</v>
      </c>
      <c r="F206" t="s">
        <v>60</v>
      </c>
      <c r="G206" t="s">
        <v>10</v>
      </c>
    </row>
    <row r="207" spans="1:7" x14ac:dyDescent="0.25">
      <c r="A207" t="s">
        <v>85</v>
      </c>
      <c r="B207" t="s">
        <v>25</v>
      </c>
      <c r="C207">
        <f t="shared" si="14"/>
        <v>69</v>
      </c>
      <c r="D207" s="1">
        <v>81.8</v>
      </c>
      <c r="F207" t="s">
        <v>60</v>
      </c>
      <c r="G207" t="s">
        <v>10</v>
      </c>
    </row>
    <row r="208" spans="1:7" x14ac:dyDescent="0.25">
      <c r="A208" t="s">
        <v>51</v>
      </c>
      <c r="B208" t="s">
        <v>35</v>
      </c>
      <c r="C208">
        <v>6</v>
      </c>
      <c r="D208" s="1">
        <v>54.4</v>
      </c>
      <c r="F208" t="s">
        <v>60</v>
      </c>
      <c r="G208" t="s">
        <v>10</v>
      </c>
    </row>
    <row r="209" spans="1:7" x14ac:dyDescent="0.25">
      <c r="A209" t="s">
        <v>51</v>
      </c>
      <c r="B209" t="s">
        <v>38</v>
      </c>
      <c r="C209">
        <v>18</v>
      </c>
      <c r="D209" s="1">
        <v>52.1</v>
      </c>
      <c r="F209" t="s">
        <v>60</v>
      </c>
      <c r="G209" t="s">
        <v>10</v>
      </c>
    </row>
    <row r="210" spans="1:7" x14ac:dyDescent="0.25">
      <c r="A210" t="s">
        <v>52</v>
      </c>
      <c r="B210" t="s">
        <v>35</v>
      </c>
      <c r="C210">
        <v>3</v>
      </c>
      <c r="D210" s="1">
        <v>52.891666666666701</v>
      </c>
      <c r="F210" t="s">
        <v>60</v>
      </c>
      <c r="G210" t="s">
        <v>10</v>
      </c>
    </row>
    <row r="211" spans="1:7" x14ac:dyDescent="0.25">
      <c r="A211" t="s">
        <v>52</v>
      </c>
      <c r="B211" t="s">
        <v>38</v>
      </c>
      <c r="C211">
        <f>12+C210</f>
        <v>15</v>
      </c>
      <c r="D211" s="1">
        <v>51.1666666666667</v>
      </c>
      <c r="F211" t="s">
        <v>60</v>
      </c>
      <c r="G211" t="s">
        <v>10</v>
      </c>
    </row>
    <row r="212" spans="1:7" x14ac:dyDescent="0.25">
      <c r="A212" t="s">
        <v>52</v>
      </c>
      <c r="B212" t="s">
        <v>39</v>
      </c>
      <c r="C212">
        <f t="shared" ref="C212:C215" si="15">12+C211</f>
        <v>27</v>
      </c>
      <c r="D212" s="1">
        <v>60.4166666666667</v>
      </c>
      <c r="F212" t="s">
        <v>60</v>
      </c>
      <c r="G212" t="s">
        <v>10</v>
      </c>
    </row>
    <row r="213" spans="1:7" x14ac:dyDescent="0.25">
      <c r="A213" t="s">
        <v>52</v>
      </c>
      <c r="B213" t="s">
        <v>40</v>
      </c>
      <c r="C213">
        <f t="shared" si="15"/>
        <v>39</v>
      </c>
      <c r="D213" s="1">
        <v>65.8333333333333</v>
      </c>
      <c r="F213" t="s">
        <v>60</v>
      </c>
      <c r="G213" t="s">
        <v>10</v>
      </c>
    </row>
    <row r="214" spans="1:7" x14ac:dyDescent="0.25">
      <c r="A214" t="s">
        <v>52</v>
      </c>
      <c r="B214" t="s">
        <v>28</v>
      </c>
      <c r="C214">
        <f t="shared" si="15"/>
        <v>51</v>
      </c>
      <c r="D214" s="1">
        <v>70.75</v>
      </c>
      <c r="F214" t="s">
        <v>60</v>
      </c>
      <c r="G214" t="s">
        <v>10</v>
      </c>
    </row>
    <row r="215" spans="1:7" x14ac:dyDescent="0.25">
      <c r="A215" t="s">
        <v>52</v>
      </c>
      <c r="B215" t="s">
        <v>25</v>
      </c>
      <c r="C215">
        <f t="shared" si="15"/>
        <v>63</v>
      </c>
      <c r="D215" s="1">
        <v>75.3333333333333</v>
      </c>
      <c r="F215" t="s">
        <v>60</v>
      </c>
      <c r="G215" t="s">
        <v>10</v>
      </c>
    </row>
    <row r="216" spans="1:7" x14ac:dyDescent="0.25">
      <c r="A216" t="s">
        <v>35</v>
      </c>
      <c r="B216" t="s">
        <v>38</v>
      </c>
      <c r="C216">
        <v>12</v>
      </c>
      <c r="D216" s="1">
        <v>41.3</v>
      </c>
      <c r="F216" t="s">
        <v>60</v>
      </c>
      <c r="G216" t="s">
        <v>10</v>
      </c>
    </row>
    <row r="217" spans="1:7" x14ac:dyDescent="0.25">
      <c r="A217" t="s">
        <v>86</v>
      </c>
      <c r="B217" t="s">
        <v>38</v>
      </c>
      <c r="C217">
        <v>9</v>
      </c>
      <c r="D217" s="6">
        <v>44.994309773879401</v>
      </c>
      <c r="F217" t="s">
        <v>60</v>
      </c>
      <c r="G217" t="s">
        <v>10</v>
      </c>
    </row>
    <row r="218" spans="1:7" x14ac:dyDescent="0.25">
      <c r="A218" t="s">
        <v>86</v>
      </c>
      <c r="B218" t="s">
        <v>39</v>
      </c>
      <c r="C218">
        <f>C217+12</f>
        <v>21</v>
      </c>
      <c r="D218" s="6">
        <v>56.013100000000101</v>
      </c>
      <c r="F218" t="s">
        <v>60</v>
      </c>
      <c r="G218" t="s">
        <v>10</v>
      </c>
    </row>
    <row r="219" spans="1:7" x14ac:dyDescent="0.25">
      <c r="A219" t="s">
        <v>86</v>
      </c>
      <c r="B219" t="s">
        <v>40</v>
      </c>
      <c r="C219">
        <v>10</v>
      </c>
      <c r="D219" s="6">
        <v>61.390663126000099</v>
      </c>
      <c r="F219" t="s">
        <v>60</v>
      </c>
      <c r="G219" t="s">
        <v>10</v>
      </c>
    </row>
    <row r="220" spans="1:7" x14ac:dyDescent="0.25">
      <c r="A220" t="s">
        <v>86</v>
      </c>
      <c r="B220" t="s">
        <v>28</v>
      </c>
      <c r="C220">
        <f t="shared" ref="C220" si="16">C219+12</f>
        <v>22</v>
      </c>
      <c r="D220" s="6">
        <v>63.857111056065598</v>
      </c>
      <c r="F220" t="s">
        <v>60</v>
      </c>
      <c r="G220" t="s">
        <v>10</v>
      </c>
    </row>
    <row r="221" spans="1:7" x14ac:dyDescent="0.25">
      <c r="A221" t="s">
        <v>86</v>
      </c>
      <c r="B221" t="s">
        <v>25</v>
      </c>
      <c r="C221">
        <v>11</v>
      </c>
      <c r="D221" s="6">
        <v>64.287923055805393</v>
      </c>
      <c r="F221" t="s">
        <v>60</v>
      </c>
      <c r="G221" t="s">
        <v>10</v>
      </c>
    </row>
    <row r="222" spans="1:7" x14ac:dyDescent="0.25">
      <c r="A222" t="s">
        <v>86</v>
      </c>
      <c r="B222" t="s">
        <v>22</v>
      </c>
      <c r="C222">
        <f t="shared" ref="C222" si="17">C221+12</f>
        <v>23</v>
      </c>
      <c r="D222" s="6">
        <v>64.703048698615504</v>
      </c>
      <c r="F222" t="s">
        <v>60</v>
      </c>
      <c r="G222" t="s">
        <v>10</v>
      </c>
    </row>
    <row r="223" spans="1:7" x14ac:dyDescent="0.25">
      <c r="A223" t="s">
        <v>87</v>
      </c>
      <c r="B223" t="s">
        <v>38</v>
      </c>
      <c r="C223">
        <v>6</v>
      </c>
      <c r="D223" s="1">
        <v>44.2</v>
      </c>
      <c r="F223" t="s">
        <v>60</v>
      </c>
      <c r="G223" t="s">
        <v>10</v>
      </c>
    </row>
    <row r="224" spans="1:7" x14ac:dyDescent="0.25">
      <c r="A224" t="s">
        <v>87</v>
      </c>
      <c r="B224" t="s">
        <v>39</v>
      </c>
      <c r="C224">
        <v>18</v>
      </c>
      <c r="D224" s="6">
        <v>44.8</v>
      </c>
      <c r="F224" t="s">
        <v>60</v>
      </c>
      <c r="G224" t="s">
        <v>10</v>
      </c>
    </row>
    <row r="225" spans="1:7" x14ac:dyDescent="0.25">
      <c r="A225" t="s">
        <v>88</v>
      </c>
      <c r="B225" t="s">
        <v>38</v>
      </c>
      <c r="C225">
        <v>3</v>
      </c>
      <c r="D225" s="6">
        <v>48.5</v>
      </c>
      <c r="F225" t="s">
        <v>60</v>
      </c>
      <c r="G225" t="s">
        <v>10</v>
      </c>
    </row>
    <row r="226" spans="1:7" x14ac:dyDescent="0.25">
      <c r="A226" t="s">
        <v>88</v>
      </c>
      <c r="B226" t="s">
        <v>39</v>
      </c>
      <c r="C226">
        <v>15</v>
      </c>
      <c r="D226" s="1">
        <v>44.8</v>
      </c>
      <c r="F226" t="s">
        <v>60</v>
      </c>
      <c r="G226" t="s">
        <v>10</v>
      </c>
    </row>
    <row r="227" spans="1:7" x14ac:dyDescent="0.25">
      <c r="A227" t="s">
        <v>38</v>
      </c>
      <c r="B227" t="s">
        <v>39</v>
      </c>
      <c r="C227">
        <v>12</v>
      </c>
      <c r="D227" s="6">
        <v>52.7</v>
      </c>
      <c r="F227" t="s">
        <v>60</v>
      </c>
      <c r="G227" t="s">
        <v>10</v>
      </c>
    </row>
    <row r="228" spans="1:7" x14ac:dyDescent="0.25">
      <c r="A228" t="s">
        <v>89</v>
      </c>
      <c r="B228" t="s">
        <v>39</v>
      </c>
      <c r="C228">
        <v>9</v>
      </c>
      <c r="D228" s="6">
        <v>65.180535005568004</v>
      </c>
      <c r="F228" t="s">
        <v>60</v>
      </c>
      <c r="G228" t="s">
        <v>10</v>
      </c>
    </row>
    <row r="229" spans="1:7" x14ac:dyDescent="0.25">
      <c r="A229" t="s">
        <v>89</v>
      </c>
      <c r="B229" t="s">
        <v>40</v>
      </c>
      <c r="C229">
        <f>12+C228</f>
        <v>21</v>
      </c>
      <c r="D229" s="1">
        <v>51.607861464605399</v>
      </c>
      <c r="F229" t="s">
        <v>60</v>
      </c>
      <c r="G229" t="s">
        <v>10</v>
      </c>
    </row>
    <row r="230" spans="1:7" x14ac:dyDescent="0.25">
      <c r="A230" t="s">
        <v>89</v>
      </c>
      <c r="B230" t="s">
        <v>28</v>
      </c>
      <c r="C230">
        <f t="shared" ref="C230:C233" si="18">12+C229</f>
        <v>33</v>
      </c>
      <c r="D230" s="6">
        <v>53.945199300769701</v>
      </c>
      <c r="F230" t="s">
        <v>60</v>
      </c>
      <c r="G230" t="s">
        <v>10</v>
      </c>
    </row>
    <row r="231" spans="1:7" x14ac:dyDescent="0.25">
      <c r="A231" t="s">
        <v>89</v>
      </c>
      <c r="B231" t="s">
        <v>25</v>
      </c>
      <c r="C231">
        <f t="shared" si="18"/>
        <v>45</v>
      </c>
      <c r="D231" s="6">
        <v>56.488881180206903</v>
      </c>
      <c r="F231" t="s">
        <v>60</v>
      </c>
      <c r="G231" t="s">
        <v>10</v>
      </c>
    </row>
    <row r="232" spans="1:7" x14ac:dyDescent="0.25">
      <c r="A232" t="s">
        <v>89</v>
      </c>
      <c r="B232" t="s">
        <v>22</v>
      </c>
      <c r="C232">
        <f t="shared" si="18"/>
        <v>57</v>
      </c>
      <c r="D232" s="1">
        <v>55.849099045291602</v>
      </c>
      <c r="F232" t="s">
        <v>60</v>
      </c>
      <c r="G232" t="s">
        <v>10</v>
      </c>
    </row>
    <row r="233" spans="1:7" x14ac:dyDescent="0.25">
      <c r="A233" t="s">
        <v>89</v>
      </c>
      <c r="B233" t="s">
        <v>19</v>
      </c>
      <c r="C233">
        <f t="shared" si="18"/>
        <v>69</v>
      </c>
      <c r="D233" s="6">
        <v>55.938348095726802</v>
      </c>
      <c r="F233" t="s">
        <v>60</v>
      </c>
      <c r="G233" t="s">
        <v>10</v>
      </c>
    </row>
    <row r="234" spans="1:7" x14ac:dyDescent="0.25">
      <c r="A234" t="s">
        <v>46</v>
      </c>
      <c r="B234" t="s">
        <v>39</v>
      </c>
      <c r="C234">
        <v>6</v>
      </c>
      <c r="D234" s="6">
        <v>62.4</v>
      </c>
      <c r="F234" t="s">
        <v>60</v>
      </c>
      <c r="G234" t="s">
        <v>10</v>
      </c>
    </row>
    <row r="235" spans="1:7" x14ac:dyDescent="0.25">
      <c r="A235" t="s">
        <v>46</v>
      </c>
      <c r="B235" t="s">
        <v>40</v>
      </c>
      <c r="C235">
        <v>18</v>
      </c>
      <c r="D235" s="1">
        <v>49.1</v>
      </c>
      <c r="F235" t="s">
        <v>60</v>
      </c>
      <c r="G235" t="s">
        <v>10</v>
      </c>
    </row>
    <row r="236" spans="1:7" x14ac:dyDescent="0.25">
      <c r="A236" t="s">
        <v>46</v>
      </c>
      <c r="B236" t="s">
        <v>28</v>
      </c>
      <c r="C236">
        <f>C235+12</f>
        <v>30</v>
      </c>
      <c r="D236" s="6">
        <v>49.2</v>
      </c>
      <c r="F236" t="s">
        <v>60</v>
      </c>
      <c r="G236" t="s">
        <v>10</v>
      </c>
    </row>
    <row r="237" spans="1:7" x14ac:dyDescent="0.25">
      <c r="A237" t="s">
        <v>90</v>
      </c>
      <c r="B237" t="s">
        <v>39</v>
      </c>
      <c r="C237">
        <v>3</v>
      </c>
      <c r="D237" s="6">
        <v>64</v>
      </c>
      <c r="F237" t="s">
        <v>60</v>
      </c>
      <c r="G237" t="s">
        <v>10</v>
      </c>
    </row>
    <row r="238" spans="1:7" x14ac:dyDescent="0.25">
      <c r="A238" t="s">
        <v>90</v>
      </c>
      <c r="B238" t="s">
        <v>40</v>
      </c>
      <c r="C238">
        <f>C237+12</f>
        <v>15</v>
      </c>
      <c r="D238" s="1">
        <v>49.5</v>
      </c>
      <c r="F238" t="s">
        <v>60</v>
      </c>
      <c r="G238" t="s">
        <v>10</v>
      </c>
    </row>
    <row r="239" spans="1:7" x14ac:dyDescent="0.25">
      <c r="A239" t="s">
        <v>90</v>
      </c>
      <c r="B239" t="s">
        <v>28</v>
      </c>
      <c r="C239">
        <f>C238+12</f>
        <v>27</v>
      </c>
      <c r="D239" s="1">
        <v>49</v>
      </c>
      <c r="F239" t="s">
        <v>60</v>
      </c>
      <c r="G239" t="s">
        <v>10</v>
      </c>
    </row>
    <row r="240" spans="1:7" x14ac:dyDescent="0.25">
      <c r="A240" t="s">
        <v>39</v>
      </c>
      <c r="B240" t="s">
        <v>40</v>
      </c>
      <c r="C240">
        <v>12</v>
      </c>
      <c r="D240" s="1">
        <v>52.6</v>
      </c>
      <c r="F240" t="s">
        <v>60</v>
      </c>
      <c r="G240" t="s">
        <v>10</v>
      </c>
    </row>
    <row r="241" spans="1:7" x14ac:dyDescent="0.25">
      <c r="A241" t="s">
        <v>39</v>
      </c>
      <c r="B241" t="s">
        <v>28</v>
      </c>
      <c r="C241">
        <v>24</v>
      </c>
      <c r="D241" s="1">
        <v>48.8</v>
      </c>
      <c r="F241" t="s">
        <v>60</v>
      </c>
      <c r="G241" t="s">
        <v>10</v>
      </c>
    </row>
    <row r="242" spans="1:7" x14ac:dyDescent="0.25">
      <c r="A242" t="s">
        <v>59</v>
      </c>
      <c r="B242" t="s">
        <v>8</v>
      </c>
      <c r="C242">
        <v>3</v>
      </c>
      <c r="D242" s="1">
        <v>95</v>
      </c>
      <c r="F242" t="s">
        <v>91</v>
      </c>
      <c r="G242" t="s">
        <v>10</v>
      </c>
    </row>
    <row r="243" spans="1:7" x14ac:dyDescent="0.25">
      <c r="A243" t="s">
        <v>59</v>
      </c>
      <c r="B243" t="s">
        <v>11</v>
      </c>
      <c r="C243">
        <v>15</v>
      </c>
      <c r="D243" s="1">
        <v>90</v>
      </c>
      <c r="F243" t="s">
        <v>91</v>
      </c>
      <c r="G243" t="s">
        <v>10</v>
      </c>
    </row>
    <row r="244" spans="1:7" x14ac:dyDescent="0.25">
      <c r="A244" t="s">
        <v>59</v>
      </c>
      <c r="B244" t="s">
        <v>8</v>
      </c>
      <c r="C244">
        <v>3</v>
      </c>
      <c r="D244" s="1">
        <v>100</v>
      </c>
      <c r="F244" t="s">
        <v>91</v>
      </c>
      <c r="G244" t="s">
        <v>10</v>
      </c>
    </row>
    <row r="245" spans="1:7" x14ac:dyDescent="0.25">
      <c r="A245" t="s">
        <v>59</v>
      </c>
      <c r="B245" t="s">
        <v>11</v>
      </c>
      <c r="C245">
        <v>15</v>
      </c>
      <c r="D245" s="1">
        <v>95</v>
      </c>
      <c r="F245" t="s">
        <v>91</v>
      </c>
      <c r="G245" t="s">
        <v>10</v>
      </c>
    </row>
    <row r="246" spans="1:7" x14ac:dyDescent="0.25">
      <c r="A246" t="s">
        <v>59</v>
      </c>
      <c r="B246" t="s">
        <v>8</v>
      </c>
      <c r="C246">
        <v>3</v>
      </c>
      <c r="D246" s="1">
        <v>95</v>
      </c>
      <c r="F246" t="s">
        <v>9</v>
      </c>
      <c r="G246" t="s">
        <v>10</v>
      </c>
    </row>
    <row r="247" spans="1:7" x14ac:dyDescent="0.25">
      <c r="A247" t="s">
        <v>59</v>
      </c>
      <c r="B247" t="s">
        <v>11</v>
      </c>
      <c r="C247">
        <v>15</v>
      </c>
      <c r="D247" s="1">
        <v>88</v>
      </c>
      <c r="F247" t="s">
        <v>9</v>
      </c>
      <c r="G247" t="s">
        <v>10</v>
      </c>
    </row>
    <row r="248" spans="1:7" x14ac:dyDescent="0.25">
      <c r="A248" t="s">
        <v>59</v>
      </c>
      <c r="B248" t="s">
        <v>8</v>
      </c>
      <c r="C248">
        <v>3</v>
      </c>
      <c r="D248" s="1">
        <v>97.2</v>
      </c>
      <c r="F248" t="s">
        <v>92</v>
      </c>
      <c r="G248" t="s">
        <v>10</v>
      </c>
    </row>
    <row r="249" spans="1:7" x14ac:dyDescent="0.25">
      <c r="A249" t="s">
        <v>59</v>
      </c>
      <c r="B249" t="s">
        <v>31</v>
      </c>
      <c r="C249">
        <f>(4*12)+C248</f>
        <v>51</v>
      </c>
      <c r="D249" s="1">
        <v>80</v>
      </c>
      <c r="F249" t="s">
        <v>92</v>
      </c>
      <c r="G249" t="s">
        <v>10</v>
      </c>
    </row>
    <row r="250" spans="1:7" x14ac:dyDescent="0.25">
      <c r="A250" t="s">
        <v>59</v>
      </c>
      <c r="B250" t="s">
        <v>93</v>
      </c>
      <c r="C250">
        <f>(6*12)+C249</f>
        <v>123</v>
      </c>
      <c r="D250" s="1">
        <v>95</v>
      </c>
      <c r="F250" t="s">
        <v>94</v>
      </c>
      <c r="G250" t="s">
        <v>10</v>
      </c>
    </row>
    <row r="251" spans="1:7" x14ac:dyDescent="0.25">
      <c r="A251" t="s">
        <v>95</v>
      </c>
      <c r="B251" t="s">
        <v>96</v>
      </c>
      <c r="C251">
        <v>7</v>
      </c>
      <c r="D251" s="1">
        <v>93</v>
      </c>
      <c r="F251" t="s">
        <v>53</v>
      </c>
      <c r="G251" t="s">
        <v>10</v>
      </c>
    </row>
    <row r="252" spans="1:7" x14ac:dyDescent="0.25">
      <c r="A252" t="s">
        <v>95</v>
      </c>
      <c r="B252" t="s">
        <v>11</v>
      </c>
      <c r="C252">
        <v>13</v>
      </c>
      <c r="D252" s="1">
        <v>88</v>
      </c>
      <c r="F252" t="s">
        <v>53</v>
      </c>
      <c r="G252" t="s">
        <v>10</v>
      </c>
    </row>
    <row r="253" spans="1:7" x14ac:dyDescent="0.25">
      <c r="A253" t="s">
        <v>97</v>
      </c>
      <c r="B253" t="s">
        <v>96</v>
      </c>
      <c r="C253">
        <v>19</v>
      </c>
      <c r="D253" s="1">
        <v>88</v>
      </c>
      <c r="F253" t="s">
        <v>53</v>
      </c>
      <c r="G253" t="s">
        <v>10</v>
      </c>
    </row>
    <row r="254" spans="1:7" x14ac:dyDescent="0.25">
      <c r="A254" t="s">
        <v>97</v>
      </c>
      <c r="B254" t="s">
        <v>11</v>
      </c>
      <c r="C254">
        <v>25</v>
      </c>
      <c r="D254" s="1">
        <v>80</v>
      </c>
      <c r="F254" t="s">
        <v>53</v>
      </c>
      <c r="G254" t="s">
        <v>10</v>
      </c>
    </row>
    <row r="255" spans="1:7" x14ac:dyDescent="0.25">
      <c r="A255" t="s">
        <v>65</v>
      </c>
      <c r="B255" t="s">
        <v>13</v>
      </c>
      <c r="C255">
        <v>9</v>
      </c>
      <c r="D255" s="1">
        <v>105</v>
      </c>
      <c r="F255" t="s">
        <v>98</v>
      </c>
      <c r="G255" t="s">
        <v>10</v>
      </c>
    </row>
    <row r="256" spans="1:7" x14ac:dyDescent="0.25">
      <c r="A256" t="s">
        <v>64</v>
      </c>
      <c r="B256" t="s">
        <v>13</v>
      </c>
      <c r="C256">
        <v>6</v>
      </c>
      <c r="D256" s="1">
        <v>105</v>
      </c>
      <c r="F256" t="s">
        <v>98</v>
      </c>
      <c r="G256" t="s">
        <v>10</v>
      </c>
    </row>
    <row r="257" spans="1:7" x14ac:dyDescent="0.25">
      <c r="A257" t="s">
        <v>65</v>
      </c>
      <c r="B257" t="s">
        <v>8</v>
      </c>
      <c r="C257">
        <v>21</v>
      </c>
      <c r="D257" s="1">
        <v>90</v>
      </c>
      <c r="F257" t="s">
        <v>98</v>
      </c>
      <c r="G257" t="s">
        <v>10</v>
      </c>
    </row>
    <row r="258" spans="1:7" x14ac:dyDescent="0.25">
      <c r="A258" t="s">
        <v>64</v>
      </c>
      <c r="B258" t="s">
        <v>8</v>
      </c>
      <c r="C258">
        <v>18</v>
      </c>
      <c r="D258" s="1">
        <v>90</v>
      </c>
      <c r="F258" t="s">
        <v>98</v>
      </c>
      <c r="G258" t="s">
        <v>10</v>
      </c>
    </row>
    <row r="259" spans="1:7" x14ac:dyDescent="0.25">
      <c r="A259" t="s">
        <v>65</v>
      </c>
      <c r="B259" t="s">
        <v>11</v>
      </c>
      <c r="C259">
        <v>34</v>
      </c>
      <c r="D259" s="1">
        <v>85</v>
      </c>
      <c r="F259" t="s">
        <v>98</v>
      </c>
      <c r="G259" t="s">
        <v>10</v>
      </c>
    </row>
    <row r="260" spans="1:7" x14ac:dyDescent="0.25">
      <c r="A260" t="s">
        <v>64</v>
      </c>
      <c r="B260" t="s">
        <v>11</v>
      </c>
      <c r="C260">
        <v>31</v>
      </c>
      <c r="D260" s="1">
        <v>85</v>
      </c>
      <c r="F260" t="s">
        <v>98</v>
      </c>
      <c r="G260" t="s">
        <v>10</v>
      </c>
    </row>
    <row r="261" spans="1:7" x14ac:dyDescent="0.25">
      <c r="A261" t="s">
        <v>65</v>
      </c>
      <c r="B261" t="s">
        <v>29</v>
      </c>
      <c r="C261">
        <v>46</v>
      </c>
      <c r="D261" s="1">
        <v>75</v>
      </c>
      <c r="F261" t="s">
        <v>98</v>
      </c>
      <c r="G261" t="s">
        <v>10</v>
      </c>
    </row>
    <row r="262" spans="1:7" x14ac:dyDescent="0.25">
      <c r="A262" t="s">
        <v>64</v>
      </c>
      <c r="B262" t="s">
        <v>29</v>
      </c>
      <c r="C262">
        <v>43</v>
      </c>
      <c r="D262" s="1">
        <v>75</v>
      </c>
      <c r="F262" t="s">
        <v>98</v>
      </c>
      <c r="G262" t="s">
        <v>10</v>
      </c>
    </row>
    <row r="263" spans="1:7" x14ac:dyDescent="0.25">
      <c r="A263" t="s">
        <v>59</v>
      </c>
      <c r="B263" t="s">
        <v>8</v>
      </c>
      <c r="C263">
        <v>3</v>
      </c>
      <c r="D263" s="1">
        <v>95</v>
      </c>
      <c r="F263" t="s">
        <v>98</v>
      </c>
      <c r="G263" t="s">
        <v>10</v>
      </c>
    </row>
    <row r="264" spans="1:7" x14ac:dyDescent="0.25">
      <c r="A264" t="s">
        <v>59</v>
      </c>
      <c r="B264" t="s">
        <v>11</v>
      </c>
      <c r="C264">
        <v>15</v>
      </c>
      <c r="D264" s="1">
        <v>85</v>
      </c>
      <c r="F264" t="s">
        <v>98</v>
      </c>
      <c r="G264" t="s">
        <v>10</v>
      </c>
    </row>
    <row r="265" spans="1:7" x14ac:dyDescent="0.25">
      <c r="A265" t="s">
        <v>59</v>
      </c>
      <c r="B265" t="s">
        <v>29</v>
      </c>
      <c r="C265">
        <v>27</v>
      </c>
      <c r="D265" s="1">
        <v>75</v>
      </c>
      <c r="F265" t="s">
        <v>98</v>
      </c>
      <c r="G265" t="s">
        <v>10</v>
      </c>
    </row>
    <row r="266" spans="1:7" x14ac:dyDescent="0.25">
      <c r="A266" t="s">
        <v>59</v>
      </c>
      <c r="B266" t="s">
        <v>30</v>
      </c>
      <c r="C266">
        <v>39</v>
      </c>
      <c r="D266" s="1">
        <v>70</v>
      </c>
      <c r="F266" t="s">
        <v>98</v>
      </c>
      <c r="G266" t="s">
        <v>10</v>
      </c>
    </row>
    <row r="267" spans="1:7" x14ac:dyDescent="0.25">
      <c r="A267" t="s">
        <v>62</v>
      </c>
      <c r="B267" t="s">
        <v>8</v>
      </c>
      <c r="C267">
        <f>C263+6</f>
        <v>9</v>
      </c>
      <c r="D267" s="1">
        <v>90</v>
      </c>
      <c r="F267" t="s">
        <v>98</v>
      </c>
      <c r="G267" t="s">
        <v>10</v>
      </c>
    </row>
    <row r="268" spans="1:7" x14ac:dyDescent="0.25">
      <c r="A268" t="s">
        <v>62</v>
      </c>
      <c r="B268" t="s">
        <v>11</v>
      </c>
      <c r="C268">
        <f t="shared" ref="C268:C270" si="19">C264+6</f>
        <v>21</v>
      </c>
      <c r="D268" s="1">
        <v>85</v>
      </c>
      <c r="F268" t="s">
        <v>98</v>
      </c>
      <c r="G268" t="s">
        <v>10</v>
      </c>
    </row>
    <row r="269" spans="1:7" x14ac:dyDescent="0.25">
      <c r="A269" t="s">
        <v>62</v>
      </c>
      <c r="B269" t="s">
        <v>29</v>
      </c>
      <c r="C269">
        <f t="shared" si="19"/>
        <v>33</v>
      </c>
      <c r="D269" s="1">
        <v>75</v>
      </c>
      <c r="F269" t="s">
        <v>98</v>
      </c>
      <c r="G269" t="s">
        <v>10</v>
      </c>
    </row>
    <row r="270" spans="1:7" x14ac:dyDescent="0.25">
      <c r="A270" t="s">
        <v>62</v>
      </c>
      <c r="B270" t="s">
        <v>30</v>
      </c>
      <c r="C270">
        <f t="shared" si="19"/>
        <v>45</v>
      </c>
      <c r="D270" s="1">
        <v>70</v>
      </c>
      <c r="F270" t="s">
        <v>98</v>
      </c>
      <c r="G270" t="s">
        <v>10</v>
      </c>
    </row>
    <row r="271" spans="1:7" x14ac:dyDescent="0.25">
      <c r="A271" t="s">
        <v>99</v>
      </c>
      <c r="B271" t="s">
        <v>35</v>
      </c>
      <c r="D271" s="1">
        <v>58</v>
      </c>
      <c r="F271" t="s">
        <v>50</v>
      </c>
      <c r="G271" t="s">
        <v>10</v>
      </c>
    </row>
    <row r="272" spans="1:7" x14ac:dyDescent="0.25">
      <c r="A272" t="s">
        <v>99</v>
      </c>
      <c r="B272" t="s">
        <v>38</v>
      </c>
      <c r="D272" s="1">
        <v>62</v>
      </c>
      <c r="F272" t="s">
        <v>50</v>
      </c>
      <c r="G272" t="s">
        <v>10</v>
      </c>
    </row>
    <row r="273" spans="1:7" x14ac:dyDescent="0.25">
      <c r="A273" t="s">
        <v>42</v>
      </c>
      <c r="B273" t="s">
        <v>37</v>
      </c>
      <c r="D273" s="1">
        <v>121</v>
      </c>
      <c r="F273" t="s">
        <v>53</v>
      </c>
      <c r="G273" t="s">
        <v>10</v>
      </c>
    </row>
    <row r="354" spans="4:5" x14ac:dyDescent="0.25">
      <c r="D354" s="2"/>
    </row>
    <row r="355" spans="4:5" x14ac:dyDescent="0.25">
      <c r="D355" s="2"/>
    </row>
    <row r="356" spans="4:5" x14ac:dyDescent="0.25">
      <c r="D356" s="2"/>
    </row>
    <row r="357" spans="4:5" x14ac:dyDescent="0.25">
      <c r="D357" s="2"/>
    </row>
    <row r="358" spans="4:5" x14ac:dyDescent="0.25">
      <c r="D358" s="2"/>
    </row>
    <row r="359" spans="4:5" x14ac:dyDescent="0.25">
      <c r="D359" s="2"/>
    </row>
    <row r="360" spans="4:5" x14ac:dyDescent="0.25">
      <c r="D360" s="3"/>
      <c r="E360" s="4"/>
    </row>
    <row r="361" spans="4:5" x14ac:dyDescent="0.25">
      <c r="D361" s="3"/>
      <c r="E361" s="4"/>
    </row>
    <row r="362" spans="4:5" x14ac:dyDescent="0.25">
      <c r="D362" s="3"/>
    </row>
    <row r="363" spans="4:5" x14ac:dyDescent="0.25">
      <c r="D363" s="3"/>
    </row>
    <row r="364" spans="4:5" x14ac:dyDescent="0.25">
      <c r="D364" s="3"/>
    </row>
    <row r="365" spans="4:5" x14ac:dyDescent="0.25">
      <c r="D365" s="3"/>
    </row>
    <row r="366" spans="4:5" x14ac:dyDescent="0.25">
      <c r="D366" s="3"/>
    </row>
    <row r="367" spans="4:5" x14ac:dyDescent="0.25">
      <c r="D367" s="3"/>
    </row>
    <row r="368" spans="4:5" x14ac:dyDescent="0.25">
      <c r="D368" s="3"/>
    </row>
    <row r="369" spans="4:4" x14ac:dyDescent="0.25">
      <c r="D369" s="3"/>
    </row>
    <row r="370" spans="4:4" x14ac:dyDescent="0.25">
      <c r="D370" s="3"/>
    </row>
    <row r="371" spans="4:4" x14ac:dyDescent="0.25">
      <c r="D371" s="3"/>
    </row>
    <row r="372" spans="4:4" x14ac:dyDescent="0.25">
      <c r="D372" s="3"/>
    </row>
    <row r="373" spans="4:4" x14ac:dyDescent="0.25">
      <c r="D373" s="3"/>
    </row>
    <row r="374" spans="4:4" x14ac:dyDescent="0.25">
      <c r="D374" s="3"/>
    </row>
    <row r="375" spans="4:4" x14ac:dyDescent="0.25">
      <c r="D375" s="3"/>
    </row>
    <row r="376" spans="4:4" x14ac:dyDescent="0.25">
      <c r="D376" s="3"/>
    </row>
    <row r="377" spans="4:4" x14ac:dyDescent="0.25">
      <c r="D377" s="3"/>
    </row>
    <row r="378" spans="4:4" x14ac:dyDescent="0.25">
      <c r="D378" s="3"/>
    </row>
    <row r="379" spans="4:4" x14ac:dyDescent="0.25">
      <c r="D379" s="3"/>
    </row>
    <row r="380" spans="4:4" x14ac:dyDescent="0.25">
      <c r="D380" s="3"/>
    </row>
    <row r="381" spans="4:4" x14ac:dyDescent="0.25">
      <c r="D381" s="3"/>
    </row>
    <row r="382" spans="4:4" x14ac:dyDescent="0.25">
      <c r="D382" s="3"/>
    </row>
    <row r="383" spans="4:4" x14ac:dyDescent="0.25">
      <c r="D383" s="3"/>
    </row>
    <row r="384" spans="4:4" x14ac:dyDescent="0.25">
      <c r="D384" s="3"/>
    </row>
    <row r="385" spans="4:4" x14ac:dyDescent="0.25">
      <c r="D385" s="3"/>
    </row>
    <row r="386" spans="4:4" x14ac:dyDescent="0.25">
      <c r="D386" s="3"/>
    </row>
    <row r="387" spans="4:4" x14ac:dyDescent="0.25">
      <c r="D387" s="3"/>
    </row>
    <row r="388" spans="4:4" x14ac:dyDescent="0.25">
      <c r="D388" s="5"/>
    </row>
    <row r="389" spans="4:4" x14ac:dyDescent="0.25">
      <c r="D389" s="5"/>
    </row>
    <row r="390" spans="4:4" x14ac:dyDescent="0.25">
      <c r="D390" s="5"/>
    </row>
    <row r="391" spans="4:4" x14ac:dyDescent="0.25">
      <c r="D391" s="5"/>
    </row>
    <row r="392" spans="4:4" x14ac:dyDescent="0.25">
      <c r="D392" s="5"/>
    </row>
    <row r="393" spans="4:4" x14ac:dyDescent="0.25">
      <c r="D393" s="5"/>
    </row>
    <row r="394" spans="4:4" x14ac:dyDescent="0.25">
      <c r="D394" s="5"/>
    </row>
    <row r="395" spans="4:4" x14ac:dyDescent="0.25">
      <c r="D395" s="5"/>
    </row>
    <row r="396" spans="4:4" x14ac:dyDescent="0.25">
      <c r="D396" s="5"/>
    </row>
    <row r="397" spans="4:4" x14ac:dyDescent="0.25">
      <c r="D397" s="5"/>
    </row>
    <row r="398" spans="4:4" x14ac:dyDescent="0.25">
      <c r="D398" s="5"/>
    </row>
    <row r="399" spans="4:4" x14ac:dyDescent="0.25">
      <c r="D399" s="5"/>
    </row>
    <row r="400" spans="4:4" x14ac:dyDescent="0.25">
      <c r="D400" s="5"/>
    </row>
    <row r="401" spans="4:4" x14ac:dyDescent="0.25">
      <c r="D401" s="5"/>
    </row>
    <row r="402" spans="4:4" x14ac:dyDescent="0.25">
      <c r="D402" s="5"/>
    </row>
    <row r="403" spans="4:4" x14ac:dyDescent="0.25">
      <c r="D403" s="5"/>
    </row>
    <row r="404" spans="4:4" x14ac:dyDescent="0.25">
      <c r="D404" s="5"/>
    </row>
    <row r="405" spans="4:4" x14ac:dyDescent="0.25">
      <c r="D405" s="5"/>
    </row>
    <row r="406" spans="4:4" x14ac:dyDescent="0.25">
      <c r="D406" s="5"/>
    </row>
    <row r="407" spans="4:4" x14ac:dyDescent="0.25">
      <c r="D407" s="5"/>
    </row>
    <row r="408" spans="4:4" x14ac:dyDescent="0.25">
      <c r="D408" s="5"/>
    </row>
    <row r="409" spans="4:4" x14ac:dyDescent="0.25">
      <c r="D409" s="5"/>
    </row>
    <row r="410" spans="4:4" x14ac:dyDescent="0.25">
      <c r="D410" s="5"/>
    </row>
    <row r="411" spans="4:4" x14ac:dyDescent="0.25">
      <c r="D411" s="5"/>
    </row>
    <row r="412" spans="4:4" x14ac:dyDescent="0.25">
      <c r="D412" s="5"/>
    </row>
    <row r="413" spans="4:4" x14ac:dyDescent="0.25">
      <c r="D413" s="5"/>
    </row>
    <row r="414" spans="4:4" x14ac:dyDescent="0.25">
      <c r="D414" s="5"/>
    </row>
    <row r="415" spans="4:4" x14ac:dyDescent="0.25">
      <c r="D415" s="5"/>
    </row>
    <row r="416" spans="4:4" x14ac:dyDescent="0.25">
      <c r="D416" s="5"/>
    </row>
    <row r="417" spans="4:4" x14ac:dyDescent="0.25">
      <c r="D417" s="5"/>
    </row>
    <row r="420" spans="4:4" x14ac:dyDescent="0.25">
      <c r="D420" s="5"/>
    </row>
    <row r="466" spans="4:4" x14ac:dyDescent="0.25">
      <c r="D466" s="6"/>
    </row>
    <row r="467" spans="4:4" x14ac:dyDescent="0.25">
      <c r="D467" s="6"/>
    </row>
    <row r="468" spans="4:4" x14ac:dyDescent="0.25">
      <c r="D468" s="6"/>
    </row>
    <row r="469" spans="4:4" x14ac:dyDescent="0.25">
      <c r="D469" s="6"/>
    </row>
    <row r="470" spans="4:4" x14ac:dyDescent="0.25">
      <c r="D470" s="6"/>
    </row>
    <row r="471" spans="4:4" x14ac:dyDescent="0.25">
      <c r="D471" s="6"/>
    </row>
    <row r="473" spans="4:4" x14ac:dyDescent="0.25">
      <c r="D473" s="6"/>
    </row>
    <row r="474" spans="4:4" x14ac:dyDescent="0.25">
      <c r="D474" s="6"/>
    </row>
    <row r="476" spans="4:4" x14ac:dyDescent="0.25">
      <c r="D476" s="6"/>
    </row>
    <row r="477" spans="4:4" x14ac:dyDescent="0.25">
      <c r="D477" s="6"/>
    </row>
    <row r="479" spans="4:4" x14ac:dyDescent="0.25">
      <c r="D479" s="6"/>
    </row>
    <row r="480" spans="4:4" x14ac:dyDescent="0.25">
      <c r="D480" s="6"/>
    </row>
    <row r="482" spans="4:4" x14ac:dyDescent="0.25">
      <c r="D482" s="6"/>
    </row>
    <row r="483" spans="4:4" x14ac:dyDescent="0.25">
      <c r="D483" s="6"/>
    </row>
    <row r="485" spans="4:4" x14ac:dyDescent="0.25">
      <c r="D485" s="6"/>
    </row>
    <row r="486" spans="4:4" x14ac:dyDescent="0.25">
      <c r="D48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Jarkko Schaad</dc:creator>
  <cp:lastModifiedBy>Jarkko Schaad</cp:lastModifiedBy>
  <dcterms:created xsi:type="dcterms:W3CDTF">2026-01-09T07:15:58Z</dcterms:created>
  <dcterms:modified xsi:type="dcterms:W3CDTF">2026-01-09T07:16:40Z</dcterms:modified>
</cp:coreProperties>
</file>